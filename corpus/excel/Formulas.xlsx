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gramming\EverydayOffice\EverydayOffice2\corpus\excel\"/>
    </mc:Choice>
  </mc:AlternateContent>
  <xr:revisionPtr revIDLastSave="0" documentId="8_{F836CEFC-F02A-4900-B730-FBB43223F871}" xr6:coauthVersionLast="47" xr6:coauthVersionMax="47" xr10:uidLastSave="{00000000-0000-0000-0000-000000000000}"/>
  <bookViews>
    <workbookView xWindow="-98" yWindow="-98" windowWidth="28996" windowHeight="15675" activeTab="3" xr2:uid="{1957D548-EEEF-41AF-B279-FAE0F8FA8F1F}"/>
  </bookViews>
  <sheets>
    <sheet name="Cover" sheetId="1" r:id="rId1"/>
    <sheet name="Formula Lab" sheetId="2" r:id="rId2"/>
    <sheet name="Sales Data" sheetId="3" r:id="rId3"/>
    <sheet name="Review Not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3" i="2" l="1" a="1"/>
  <c r="H23" i="2" s="1"/>
  <c r="H22" i="2"/>
  <c r="H21" i="2"/>
  <c r="H20" i="2"/>
  <c r="H19" i="2"/>
  <c r="D16" i="2" a="1"/>
  <c r="D16" i="2" s="1"/>
  <c r="A16" i="2" a="1"/>
  <c r="A16" i="2" s="1"/>
  <c r="F7" i="2" a="1"/>
  <c r="F7" i="2" s="1"/>
  <c r="B10" i="2" a="1"/>
  <c r="B10" i="2" s="1"/>
  <c r="B9" i="2" a="1"/>
  <c r="B9" i="2" s="1"/>
  <c r="B8" i="2"/>
  <c r="B7" i="2" a="1"/>
  <c r="B7" i="2" s="1"/>
  <c r="C7" i="2" a="1"/>
  <c r="C7" i="2" s="1"/>
  <c r="C8" i="2"/>
  <c r="C9" i="2" a="1"/>
  <c r="C9" i="2" s="1"/>
  <c r="C10" i="2" a="1"/>
  <c r="C10" i="2" s="1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tc={0C2375C6-F213-45D5-A631-EAFB0C4AD864}</author>
    <author>tc={1717DCDF-CA24-4CAA-AF68-1FE7CB0373E4}</author>
    <author>tc={6F4601CA-D3CB-49C9-AFF2-F9DF431F2552}</author>
  </authors>
  <commentList>
    <comment ref="B7" authorId="0" shapeId="0" xr:uid="{0C2375C6-F213-45D5-A631-EAFB0C4AD864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Review note: LET makes the formula easier to audit by naming intermediate arrays.</t>
      </text>
    </comment>
    <comment ref="F7" authorId="1" shapeId="0" xr:uid="{1717DCDF-CA24-4CAA-AF68-1FE7CB0373E4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Review note: Dynamic-array formula. Keep the spill range F7:J14 clear.</t>
      </text>
    </comment>
    <comment ref="H18" authorId="2" shapeId="0" xr:uid="{6F4601CA-D3CB-49C9-AFF2-F9DF431F2552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Reviewer instruction: change this region to North, South, East, or West to test recalculation.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tc={963C81AA-E21B-4FB1-BD50-DAC10C13F2D8}</author>
  </authors>
  <commentList>
    <comment ref="A11" authorId="0" shapeId="0" xr:uid="{963C81AA-E21B-4FB1-BD50-DAC10C13F2D8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Review note: This is an example workbook-review comment.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<sst xmlns="http://schemas.openxmlformats.org/spreadsheetml/2006/main" count="180" uniqueCount="120">
  <si>
    <t>Order ID</t>
  </si>
  <si>
    <t>Date</t>
  </si>
  <si>
    <t>Region</t>
  </si>
  <si>
    <t>Segment</t>
  </si>
  <si>
    <t>Product</t>
  </si>
  <si>
    <t>Representative</t>
  </si>
  <si>
    <t>Units</t>
  </si>
  <si>
    <t>Unit Price</t>
  </si>
  <si>
    <t>Discount</t>
  </si>
  <si>
    <t>Revenue</t>
  </si>
  <si>
    <t>Cost</t>
  </si>
  <si>
    <t>Profit</t>
  </si>
  <si>
    <t>Margin %</t>
  </si>
  <si>
    <t>SO-1001</t>
  </si>
  <si>
    <t>2026-01-04T23:00:00.000Z</t>
  </si>
  <si>
    <t>North</t>
  </si>
  <si>
    <t>Enterprise</t>
  </si>
  <si>
    <t>Atlas Hub</t>
  </si>
  <si>
    <t>Maya Carter</t>
  </si>
  <si>
    <t>SO-1002</t>
  </si>
  <si>
    <t>2026-01-11T23:00:00.000Z</t>
  </si>
  <si>
    <t>West</t>
  </si>
  <si>
    <t>SMB</t>
  </si>
  <si>
    <t>Beacon Sensor</t>
  </si>
  <si>
    <t>Liam Brooks</t>
  </si>
  <si>
    <t>SO-1003</t>
  </si>
  <si>
    <t>2026-02-02T23:00:00.000Z</t>
  </si>
  <si>
    <t>East</t>
  </si>
  <si>
    <t>Mid-Market</t>
  </si>
  <si>
    <t>Cobalt Suite</t>
  </si>
  <si>
    <t>Noah Rivera</t>
  </si>
  <si>
    <t>SO-1004</t>
  </si>
  <si>
    <t>2026-02-17T23:00:00.000Z</t>
  </si>
  <si>
    <t>South</t>
  </si>
  <si>
    <t>Delta Gateway</t>
  </si>
  <si>
    <t>Olivia Chen</t>
  </si>
  <si>
    <t>SO-1005</t>
  </si>
  <si>
    <t>2026-03-06T23:00:00.000Z</t>
  </si>
  <si>
    <t>SO-1006</t>
  </si>
  <si>
    <t>2026-03-20T23:00:00.000Z</t>
  </si>
  <si>
    <t>Ethan Price</t>
  </si>
  <si>
    <t>SO-1007</t>
  </si>
  <si>
    <t>2026-04-08T22:00:00.000Z</t>
  </si>
  <si>
    <t>Sophia Patel</t>
  </si>
  <si>
    <t>SO-1008</t>
  </si>
  <si>
    <t>2026-04-24T22:00:00.000Z</t>
  </si>
  <si>
    <t>SO-1009</t>
  </si>
  <si>
    <t>2026-05-10T22:00:00.000Z</t>
  </si>
  <si>
    <t>SO-1010</t>
  </si>
  <si>
    <t>2026-05-27T22:00:00.000Z</t>
  </si>
  <si>
    <t>SO-1011</t>
  </si>
  <si>
    <t>2026-06-12T22:00:00.000Z</t>
  </si>
  <si>
    <t>SO-1012</t>
  </si>
  <si>
    <t>2026-06-28T22:00:00.000Z</t>
  </si>
  <si>
    <t>SO-1013</t>
  </si>
  <si>
    <t>2026-07-07T22:00:00.000Z</t>
  </si>
  <si>
    <t>SO-1014</t>
  </si>
  <si>
    <t>2026-07-18T22:00:00.000Z</t>
  </si>
  <si>
    <t>SO-1015</t>
  </si>
  <si>
    <t>2026-08-01T22:00:00.000Z</t>
  </si>
  <si>
    <t>SO-1016</t>
  </si>
  <si>
    <t>2026-08-16T22:00:00.000Z</t>
  </si>
  <si>
    <t>Advanced Excel Formula Lab</t>
  </si>
  <si>
    <t>Feature</t>
  </si>
  <si>
    <t>LET + SUMPRODUCT</t>
  </si>
  <si>
    <t>XLOOKUP</t>
  </si>
  <si>
    <t>TEXTJOIN + FILTER</t>
  </si>
  <si>
    <t>Selected Revenue</t>
  </si>
  <si>
    <t>Selected Profit</t>
  </si>
  <si>
    <t>Selected Margin</t>
  </si>
  <si>
    <t>Modern formulas below are live and recalculate when the Sales Data table changes.</t>
  </si>
  <si>
    <t>SCALAR FORMULAS</t>
  </si>
  <si>
    <t>Live Result</t>
  </si>
  <si>
    <t>Formula shown as text</t>
  </si>
  <si>
    <t>Why it matters</t>
  </si>
  <si>
    <t>Names calculation components inside one auditable formula.</t>
  </si>
  <si>
    <t>Looks up a matching product and returns the calculated revenue.</t>
  </si>
  <si>
    <t>Turns a filtered unique list into a readable sentence.</t>
  </si>
  <si>
    <t>INDEX + XMATCH</t>
  </si>
  <si>
    <t>Finds the order ID linked to the maximum profit.</t>
  </si>
  <si>
    <t>DYNAMIC ARRAY OUTPUTS</t>
  </si>
  <si>
    <t>REVENUE BY REGION</t>
  </si>
  <si>
    <t>TOP 3 PRODUCTS</t>
  </si>
  <si>
    <t>INTERACTIVE SCENARIO</t>
  </si>
  <si>
    <t>Selected Region</t>
  </si>
  <si>
    <t>Order Count</t>
  </si>
  <si>
    <t>Top Representative</t>
  </si>
  <si>
    <t>Review &amp; Comments Demonstration</t>
  </si>
  <si>
    <t>This sheet lists the commented cells and shows how review notes can sit directly on workbook logic.</t>
  </si>
  <si>
    <t>COMMENT INVENTORY</t>
  </si>
  <si>
    <t>Commented Cell</t>
  </si>
  <si>
    <t>Purpose</t>
  </si>
  <si>
    <t>Suggested Reviewer Action</t>
  </si>
  <si>
    <t>Status</t>
  </si>
  <si>
    <t>Formula Lab!B7</t>
  </si>
  <si>
    <t>Explain LET formula design</t>
  </si>
  <si>
    <t>Open the comment and confirm the formula logic is clear.</t>
  </si>
  <si>
    <t>Open</t>
  </si>
  <si>
    <t>Formula Lab!F7</t>
  </si>
  <si>
    <t>Warn about dynamic-array spill behavior</t>
  </si>
  <si>
    <t>Keep cells F7:J14 empty for the dynamic array.</t>
  </si>
  <si>
    <t>Formula Lab!H18</t>
  </si>
  <si>
    <t>Document the scenario input cell</t>
  </si>
  <si>
    <t>Change the region and verify dependent formulas update.</t>
  </si>
  <si>
    <t>Review Notes!B11</t>
  </si>
  <si>
    <t>Example review workspace comment</t>
  </si>
  <si>
    <t>Reply or resolve after review.</t>
  </si>
  <si>
    <t>Reviewer Workspace: use comments to ask questions, track assumptions, and resolve feedback without changing workbook formulas.</t>
  </si>
  <si>
    <t>Excel Capabilities Demonstration Workbook</t>
  </si>
  <si>
    <t>A compact English-language demo of modern formulas, dynamic arrays, merged cells, structured tables, and cell comments.</t>
  </si>
  <si>
    <t>CONTENTS</t>
  </si>
  <si>
    <t>Sheet</t>
  </si>
  <si>
    <t>Description</t>
  </si>
  <si>
    <t>Formula Lab</t>
  </si>
  <si>
    <t>Live examples using LET, XLOOKUP, FILTER, SORTBY, UNIQUE, SUMIFS, TEXTJOIN, TAKE, XMATCH, INDEX, and dynamic arrays.</t>
  </si>
  <si>
    <t>Sales Data</t>
  </si>
  <si>
    <t>Structured source table that feeds every formula and calculates revenue, cost, profit, and margin.</t>
  </si>
  <si>
    <t>Review Notes</t>
  </si>
  <si>
    <t>Comment inventory plus an example review workflow using cell comments.</t>
  </si>
  <si>
    <t>How to use: open Formula Lab, change Formula Lab!H18 to another region, or edit rows in Sales Data. All formula outputs update automatically.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</si>
</sst>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 d\,\ yyyy"/>
    <numFmt numFmtId="165" formatCode="&quot;Kč&quot;#,##0"/>
    <numFmt numFmtId="166" formatCode="0.0%"/>
    <numFmt numFmtId="167" formatCode="mmm\ d"/>
  </numFmts>
  <fonts count="8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b/>
      <sz val="11"/>
      <color rgb="FFFFFFFF"/>
      <name val="Aptos Narrow"/>
      <family val="2"/>
      <charset val="238"/>
      <scheme val="minor"/>
    </font>
    <font>
      <b/>
      <sz val="18"/>
      <color rgb="FFFFFFFF"/>
      <name val="Aptos Narrow"/>
      <family val="2"/>
      <charset val="238"/>
      <scheme val="minor"/>
    </font>
    <font>
      <i/>
      <sz val="11"/>
      <color rgb="FF666666"/>
      <name val="Aptos Narrow"/>
      <family val="2"/>
      <charset val="238"/>
      <scheme val="minor"/>
    </font>
    <font>
      <sz val="9"/>
      <color indexed="81"/>
      <name val="Tahoma"/>
      <charset val="1"/>
    </font>
    <font>
      <b/>
      <sz val="20"/>
      <color rgb="FFFFFFFF"/>
      <name val="Aptos Narrow"/>
      <family val="2"/>
      <charset val="238"/>
      <scheme val="minor"/>
    </font>
    <font>
      <b/>
      <sz val="11"/>
      <color rgb="FF1F4E78"/>
      <name val="Aptos Narrow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/>
    <xf numFmtId="0" fontId="2" fillId="2" borderId="0" xfId="0" applyFont="1" applyFill="1"/>
    <xf numFmtId="0" fontId="0" fillId="0" borderId="0" xfId="0"/>
    <xf numFmtId="0" fontId="4" fillId="0" borderId="0" xfId="0" applyFont="1"/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167" fontId="0" fillId="0" borderId="0" xfId="0" applyNumberFormat="1"/>
    <xf numFmtId="0" fontId="2" fillId="5" borderId="0" xfId="0" applyFont="1" applyFill="1" applyAlignment="1">
      <alignment horizontal="center"/>
    </xf>
    <xf numFmtId="0" fontId="1" fillId="6" borderId="0" xfId="0" applyFont="1" applyFill="1"/>
    <xf numFmtId="0" fontId="0" fillId="6" borderId="0" xfId="0" applyFill="1"/>
    <xf numFmtId="165" fontId="0" fillId="6" borderId="0" xfId="0" applyNumberFormat="1" applyFill="1"/>
    <xf numFmtId="166" fontId="0" fillId="6" borderId="0" xfId="0" applyNumberFormat="1" applyFill="1"/>
    <xf numFmtId="3" fontId="0" fillId="6" borderId="0" xfId="0" applyNumberFormat="1" applyFill="1"/>
    <xf numFmtId="0" fontId="1" fillId="7" borderId="0" xfId="0" applyFont="1" applyFill="1" applyAlignment="1">
      <alignment wrapText="1"/>
    </xf>
    <xf numFmtId="0" fontId="6" fillId="3" borderId="0" xfId="0" applyFont="1" applyFill="1" applyAlignment="1">
      <alignment horizontal="center"/>
    </xf>
    <xf numFmtId="0" fontId="7" fillId="0" borderId="0" xfId="0" applyFont="1"/>
    <xf numFmtId="0" fontId="1" fillId="6" borderId="0" xfId="0" applyFont="1" applyFill="1" applyAlignment="1">
      <alignment wrapText="1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</cellXfs>
  <cellStyles count="1">
    <cellStyle name="Normální" xfId="0" builtinId="0"/>
  </cellStyles>
  <dxfs count="9">
    <dxf>
      <numFmt numFmtId="165" formatCode="&quot;Kč&quot;#,##0"/>
    </dxf>
    <dxf>
      <numFmt numFmtId="165" formatCode="&quot;Kč&quot;#,##0"/>
    </dxf>
    <dxf>
      <numFmt numFmtId="165" formatCode="&quot;Kč&quot;#,##0"/>
    </dxf>
    <dxf>
      <numFmt numFmtId="165" formatCode="&quot;Kč&quot;#,##0"/>
    </dxf>
    <dxf>
      <numFmt numFmtId="165" formatCode="&quot;Kč&quot;#,##0"/>
    </dxf>
    <dxf>
      <font>
        <b/>
        <color rgb="FFFFFFFF"/>
      </font>
      <fill>
        <patternFill patternType="solid">
          <fgColor indexed="64"/>
          <bgColor rgb="FF1F4E78"/>
        </patternFill>
      </fill>
    </dxf>
    <dxf>
      <numFmt numFmtId="166" formatCode="0.0%"/>
    </dxf>
    <dxf>
      <numFmt numFmtId="3" formatCode="#,##0"/>
    </dxf>
    <dxf>
      <numFmt numFmtId="164" formatCode="mmm\ d\,\ 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kub Melka" id="{CCA80A97-9FC2-41CE-96DF-BC5D8B3A778B}" userId="5d9546683e98b288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A04A15-82A1-471E-B105-C7925BB302B2}" name="tblSales" displayName="tblSales" ref="A1:M17" totalsRowShown="0" headerRowDxfId="5">
  <autoFilter ref="A1:M17" xr:uid="{BAA04A15-82A1-471E-B105-C7925BB302B2}"/>
  <tableColumns count="13">
    <tableColumn id="1" xr3:uid="{EC3A30A6-B9EE-4BCF-AF52-57FF4D50A661}" name="Order ID"/>
    <tableColumn id="2" xr3:uid="{CE7F9A8A-D627-45AF-81A9-522D6083AAA2}" name="Date" dataDxfId="8"/>
    <tableColumn id="3" xr3:uid="{421ACB92-6BCC-49E8-B602-CBA7EA0C37DF}" name="Region"/>
    <tableColumn id="4" xr3:uid="{C4CD5173-E9C5-466F-8917-3129857CDE2F}" name="Segment"/>
    <tableColumn id="5" xr3:uid="{AC93C62D-6F1E-46A9-8771-04F87590FDC5}" name="Product"/>
    <tableColumn id="6" xr3:uid="{3116216B-C056-4594-AE83-33B5D674A1B7}" name="Representative"/>
    <tableColumn id="7" xr3:uid="{28F63739-7920-48DE-B69D-0E3A35BF5B3C}" name="Units" dataDxfId="7"/>
    <tableColumn id="8" xr3:uid="{41DFF9F6-F5E0-4C81-A662-A3461672AC5F}" name="Unit Price" dataDxfId="4"/>
    <tableColumn id="9" xr3:uid="{5393D9DB-7E30-47CC-AA3F-7EB41776F527}" name="Discount" dataDxfId="3"/>
    <tableColumn id="10" xr3:uid="{C78BFC30-0A7A-4B60-9C95-3072C7048415}" name="Revenue" dataDxfId="2">
      <calculatedColumnFormula>tblSales[[#This Row],[Units]]*tblSales[[#This Row],[Unit Price]]*(1-tblSales[[#This Row],[Discount]])</calculatedColumnFormula>
    </tableColumn>
    <tableColumn id="11" xr3:uid="{2AF1BCB2-672A-4F5D-95FE-AAC0D643E042}" name="Cost" dataDxfId="1">
      <calculatedColumnFormula>tblSales[[#This Row],[Units]]*tblSales[[#This Row],[Unit Price]]*0.62</calculatedColumnFormula>
    </tableColumn>
    <tableColumn id="12" xr3:uid="{80AFB5FC-C65F-42F5-852D-52F7A4A7BEEC}" name="Profit" dataDxfId="0">
      <calculatedColumnFormula>tblSales[[#This Row],[Revenue]]-tblSales[[#This Row],[Cost]]</calculatedColumnFormula>
    </tableColumn>
    <tableColumn id="13" xr3:uid="{4BD77E43-2AA2-4BD2-AC5F-76419F67E5AD}" name="Margin %" dataDxfId="6">
      <calculatedColumnFormula>tblSales[[#This Row],[Profit]]/tblSales[[#This Row],[Revenue]]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26-08-02T15:13:11.46" personId="{CCA80A97-9FC2-41CE-96DF-BC5D8B3A778B}" id="{0C2375C6-F213-45D5-A631-EAFB0C4AD864}">
    <text>Review note: LET makes the formula easier to audit by naming intermediate arrays.</text>
  </threadedComment>
  <threadedComment ref="F7" dT="2026-08-02T15:13:11.52" personId="{CCA80A97-9FC2-41CE-96DF-BC5D8B3A778B}" id="{1717DCDF-CA24-4CAA-AF68-1FE7CB0373E4}">
    <text>Review note: Dynamic-array formula. Keep the spill range F7:J14 clear.</text>
  </threadedComment>
  <threadedComment ref="H18" dT="2026-08-02T15:13:11.57" personId="{CCA80A97-9FC2-41CE-96DF-BC5D8B3A778B}" id="{6F4601CA-D3CB-49C9-AFF2-F9DF431F2552}">
    <text>Reviewer instruction: change this region to North, South, East, or West to test recalculation.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1" dT="2026-08-02T15:13:13.55" personId="{CCA80A97-9FC2-41CE-96DF-BC5D8B3A778B}" id="{963C81AA-E21B-4FB1-BD50-DAC10C13F2D8}">
    <text>Review note: This is an example workbook-review comment.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B26A2-AE07-4757-8E73-F7A1B4B1BDC6}">
  <dimension ref="A1:H11"/>
  <sheetViews>
    <sheetView workbookViewId="0">
      <selection sqref="A1:B1"/>
    </sheetView>
  </sheetViews>
  <sheetFormatPr defaultRowHeight="14.25" x14ac:dyDescent="0.45"/>
  <cols>
    <col min="1" max="1" width="35.53125" customWidth="1"/>
    <col min="2" max="2" width="62.19921875" customWidth="1"/>
    <col min="3" max="8" width="16.86328125" customWidth="1"/>
  </cols>
  <sheetData>
    <row r="1" spans="1:8" ht="26.65" x14ac:dyDescent="0.85">
      <c r="A1" s="23" t="s">
        <v>108</v>
      </c>
      <c r="B1" s="23"/>
      <c r="C1" s="26"/>
      <c r="D1" s="26"/>
      <c r="E1" s="26"/>
      <c r="F1" s="26"/>
      <c r="G1" s="26"/>
      <c r="H1" s="26"/>
    </row>
    <row r="2" spans="1:8" x14ac:dyDescent="0.45">
      <c r="A2" s="8" t="s">
        <v>109</v>
      </c>
      <c r="B2" s="8"/>
    </row>
    <row r="4" spans="1:8" x14ac:dyDescent="0.45">
      <c r="A4" s="11" t="s">
        <v>110</v>
      </c>
      <c r="B4" s="11"/>
      <c r="C4" s="27"/>
      <c r="D4" s="27"/>
      <c r="E4" s="27"/>
      <c r="F4" s="27"/>
      <c r="G4" s="27"/>
      <c r="H4" s="27"/>
    </row>
    <row r="6" spans="1:8" x14ac:dyDescent="0.45">
      <c r="A6" s="12" t="s">
        <v>111</v>
      </c>
      <c r="B6" s="12" t="s">
        <v>112</v>
      </c>
    </row>
    <row r="7" spans="1:8" ht="28.5" x14ac:dyDescent="0.45">
      <c r="A7" s="24" t="s">
        <v>113</v>
      </c>
      <c r="B7" s="14" t="s">
        <v>114</v>
      </c>
    </row>
    <row r="8" spans="1:8" ht="28.5" x14ac:dyDescent="0.45">
      <c r="A8" s="24" t="s">
        <v>115</v>
      </c>
      <c r="B8" s="14" t="s">
        <v>116</v>
      </c>
    </row>
    <row r="9" spans="1:8" x14ac:dyDescent="0.45">
      <c r="A9" s="24" t="s">
        <v>117</v>
      </c>
      <c r="B9" s="14" t="s">
        <v>118</v>
      </c>
    </row>
    <row r="11" spans="1:8" x14ac:dyDescent="0.45">
      <c r="A11" s="25" t="s">
        <v>119</v>
      </c>
      <c r="B11" s="25"/>
    </row>
  </sheetData>
  <mergeCells count="4">
    <mergeCell ref="A1:B1"/>
    <mergeCell ref="A2:B2"/>
    <mergeCell ref="A4:B4"/>
    <mergeCell ref="A11:B11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5F85C-E38E-4279-93BD-BEDD48DBA87E}">
  <dimension ref="A1:J23"/>
  <sheetViews>
    <sheetView workbookViewId="0">
      <selection activeCell="H20" sqref="H20"/>
    </sheetView>
  </sheetViews>
  <sheetFormatPr defaultRowHeight="14.25" x14ac:dyDescent="0.45"/>
  <cols>
    <col min="1" max="1" width="14.19921875" customWidth="1"/>
    <col min="2" max="2" width="15.1328125" customWidth="1"/>
    <col min="3" max="3" width="32" style="14" customWidth="1"/>
    <col min="4" max="4" width="26.6640625" style="14" customWidth="1"/>
    <col min="5" max="5" width="3.19921875" customWidth="1"/>
    <col min="6" max="10" width="12.796875" customWidth="1"/>
    <col min="11" max="11" width="16.86328125" customWidth="1"/>
  </cols>
  <sheetData>
    <row r="1" spans="1:10" ht="23.25" x14ac:dyDescent="0.7">
      <c r="A1" s="9" t="s">
        <v>62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x14ac:dyDescent="0.45">
      <c r="A2" s="8" t="s">
        <v>70</v>
      </c>
      <c r="B2" s="7"/>
      <c r="C2" s="7"/>
      <c r="D2" s="7"/>
      <c r="E2" s="7"/>
      <c r="F2" s="7"/>
      <c r="G2" s="7"/>
      <c r="H2" s="7"/>
      <c r="I2" s="7"/>
      <c r="J2" s="7"/>
    </row>
    <row r="4" spans="1:10" x14ac:dyDescent="0.45">
      <c r="A4" s="11" t="s">
        <v>71</v>
      </c>
      <c r="B4" s="11"/>
      <c r="C4" s="11"/>
      <c r="D4" s="11"/>
      <c r="F4" s="11" t="s">
        <v>80</v>
      </c>
      <c r="G4" s="11"/>
      <c r="H4" s="11"/>
      <c r="I4" s="11"/>
      <c r="J4" s="11"/>
    </row>
    <row r="6" spans="1:10" x14ac:dyDescent="0.45">
      <c r="A6" s="12" t="s">
        <v>63</v>
      </c>
      <c r="B6" s="12" t="s">
        <v>72</v>
      </c>
      <c r="C6" s="28" t="s">
        <v>73</v>
      </c>
      <c r="D6" s="28" t="s">
        <v>74</v>
      </c>
      <c r="F6" s="12" t="s">
        <v>0</v>
      </c>
      <c r="G6" s="12" t="s">
        <v>1</v>
      </c>
      <c r="H6" s="12" t="s">
        <v>2</v>
      </c>
      <c r="I6" s="12" t="s">
        <v>4</v>
      </c>
      <c r="J6" s="12" t="s">
        <v>11</v>
      </c>
    </row>
    <row r="7" spans="1:10" ht="28.5" x14ac:dyDescent="0.45">
      <c r="A7" s="5" t="s">
        <v>64</v>
      </c>
      <c r="B7" s="3" cm="1">
        <f t="array" ref="B7">_xlfn.LET(_xlpm.qty,tblSales[Units],_xlpm.price,tblSales[Unit Price],_xlpm.disc,tblSales[Discount],SUM(_xlpm.qty*_xlpm.price*(1-_xlpm.disc)))</f>
        <v>105090.37</v>
      </c>
      <c r="C7" s="13" cm="1">
        <f t="array" ref="C7">_xlfn.LET(_xlpm.qty,tblSales[Units],_xlpm.price,tblSales[Unit Price],_xlpm.disc,tblSales[Discount],SUM(_xlpm.qty*_xlpm.price*(1-_xlpm.disc)))</f>
        <v>105090.37</v>
      </c>
      <c r="D7" s="14" t="s">
        <v>75</v>
      </c>
      <c r="F7" t="str" cm="1">
        <f t="array" ref="F7:J11">_xlfn.SORTBY(_xlfn._xlws.FILTER(_xlfn.CHOOSECOLS(tblSales[],1,2,3,5,12),tblSales[Profit]&gt;2500),_xlfn._xlws.FILTER(tblSales[Profit],tblSales[Profit]&gt;2500),-1)</f>
        <v>SO-1015</v>
      </c>
      <c r="G7" s="15" t="str">
        <v>2026-08-01T22:00:00.000Z</v>
      </c>
      <c r="H7" t="str">
        <v>East</v>
      </c>
      <c r="I7" t="str">
        <v>Atlas Hub</v>
      </c>
      <c r="J7" s="3">
        <v>3201.7799999999997</v>
      </c>
    </row>
    <row r="8" spans="1:10" ht="28.5" x14ac:dyDescent="0.45">
      <c r="A8" s="5" t="s">
        <v>65</v>
      </c>
      <c r="B8" s="3">
        <f>_xlfn.XLOOKUP("Atlas Hub",tblSales[Product],tblSales[Revenue],"Not found")</f>
        <v>5147.0999999999995</v>
      </c>
      <c r="C8" s="13">
        <f>_xlfn.XLOOKUP("Atlas Hub",tblSales[Product],tblSales[Revenue],"Not found")</f>
        <v>5147.0999999999995</v>
      </c>
      <c r="D8" s="14" t="s">
        <v>76</v>
      </c>
      <c r="F8" t="str">
        <v>SO-1013</v>
      </c>
      <c r="G8" s="15" t="str">
        <v>2026-07-07T22:00:00.000Z</v>
      </c>
      <c r="H8" t="str">
        <v>North</v>
      </c>
      <c r="I8" t="str">
        <v>Cobalt Suite</v>
      </c>
      <c r="J8" s="3">
        <v>3058.7699999999995</v>
      </c>
    </row>
    <row r="9" spans="1:10" ht="28.5" x14ac:dyDescent="0.45">
      <c r="A9" s="5" t="s">
        <v>66</v>
      </c>
      <c r="B9" t="str" cm="1">
        <f t="array" ref="B9">_xlfn.TEXTJOIN(", ",TRUE,_xlfn.UNIQUE(_xlfn._xlws.FILTER(tblSales[Representative],tblSales[Segment]="Enterprise")))</f>
        <v>Maya Carter, Olivia Chen, Sophia Patel, Liam Brooks</v>
      </c>
      <c r="C9" s="13" t="str" cm="1">
        <f t="array" ref="C9">_xlfn.TEXTJOIN(", ",TRUE,_xlfn.UNIQUE(_xlfn._xlws.FILTER(tblSales[Representative],tblSales[Segment]="Enterprise")))</f>
        <v>Maya Carter, Olivia Chen, Sophia Patel, Liam Brooks</v>
      </c>
      <c r="D9" s="14" t="s">
        <v>77</v>
      </c>
      <c r="F9" t="str">
        <v>SO-1008</v>
      </c>
      <c r="G9" s="15" t="str">
        <v>2026-04-24T22:00:00.000Z</v>
      </c>
      <c r="H9" t="str">
        <v>South</v>
      </c>
      <c r="I9" t="str">
        <v>Delta Gateway</v>
      </c>
      <c r="J9" s="3">
        <v>2944.62</v>
      </c>
    </row>
    <row r="10" spans="1:10" ht="28.5" x14ac:dyDescent="0.45">
      <c r="A10" s="5" t="s">
        <v>78</v>
      </c>
      <c r="B10" t="str" cm="1">
        <f t="array" ref="B10">INDEX(tblSales[Order ID],_xlfn.XMATCH(MAX(tblSales[Profit]),tblSales[Profit]))</f>
        <v>SO-1015</v>
      </c>
      <c r="C10" s="13" t="str" cm="1">
        <f t="array" ref="C10">INDEX(tblSales[Order ID],_xlfn.XMATCH(MAX(tblSales[Profit]),tblSales[Profit]))</f>
        <v>SO-1015</v>
      </c>
      <c r="D10" s="14" t="s">
        <v>79</v>
      </c>
      <c r="F10" t="str">
        <v>SO-1009</v>
      </c>
      <c r="G10" s="15" t="str">
        <v>2026-05-10T22:00:00.000Z</v>
      </c>
      <c r="H10" t="str">
        <v>North</v>
      </c>
      <c r="I10" t="str">
        <v>Cobalt Suite</v>
      </c>
      <c r="J10" s="3">
        <v>2846.4799999999996</v>
      </c>
    </row>
    <row r="11" spans="1:10" x14ac:dyDescent="0.45">
      <c r="F11" t="str">
        <v>SO-1010</v>
      </c>
      <c r="G11" s="15" t="str">
        <v>2026-05-27T22:00:00.000Z</v>
      </c>
      <c r="H11" t="str">
        <v>West</v>
      </c>
      <c r="I11" t="str">
        <v>Atlas Hub</v>
      </c>
      <c r="J11" s="3">
        <v>2683.2</v>
      </c>
    </row>
    <row r="12" spans="1:10" x14ac:dyDescent="0.45">
      <c r="G12" s="15"/>
      <c r="J12" s="3"/>
    </row>
    <row r="13" spans="1:10" x14ac:dyDescent="0.45">
      <c r="A13" s="16" t="s">
        <v>81</v>
      </c>
      <c r="B13" s="16"/>
      <c r="D13" s="16" t="s">
        <v>82</v>
      </c>
      <c r="E13" s="16"/>
      <c r="G13" s="15"/>
      <c r="J13" s="3"/>
    </row>
    <row r="14" spans="1:10" x14ac:dyDescent="0.45">
      <c r="G14" s="15"/>
      <c r="J14" s="3"/>
    </row>
    <row r="15" spans="1:10" x14ac:dyDescent="0.45">
      <c r="A15" s="12" t="s">
        <v>2</v>
      </c>
      <c r="B15" s="12" t="s">
        <v>9</v>
      </c>
      <c r="D15" s="28" t="s">
        <v>4</v>
      </c>
      <c r="E15" s="12" t="s">
        <v>9</v>
      </c>
    </row>
    <row r="16" spans="1:10" x14ac:dyDescent="0.45">
      <c r="A16" t="str" cm="1">
        <f t="array" ref="A16:B19">_xlfn.LET(_xlpm.r,_xlfn._xlws.SORT(_xlfn.UNIQUE(tblSales[Region])),_xlfn.HSTACK(_xlpm.r,SUMIFS(tblSales[Revenue],tblSales[Region],_xlpm.r)))</f>
        <v>East</v>
      </c>
      <c r="B16" s="3">
        <v>25710.79</v>
      </c>
      <c r="D16" s="14" t="str" cm="1">
        <f t="array" ref="D16:E18">_xlfn.LET(_xlpm.p,_xlfn.UNIQUE(tblSales[Product]),_xlfn.TAKE(_xlfn.SORTBY(_xlfn.HSTACK(_xlpm.p,SUMIFS(tblSales[Revenue],tblSales[Product],_xlpm.p)),SUMIFS(tblSales[Revenue],tblSales[Product],_xlpm.p),-1),3))</f>
        <v>Cobalt Suite</v>
      </c>
      <c r="E16" s="3">
        <v>35267.050000000003</v>
      </c>
      <c r="G16" s="16" t="s">
        <v>83</v>
      </c>
      <c r="H16" s="16"/>
      <c r="I16" s="16"/>
      <c r="J16" s="16"/>
    </row>
    <row r="17" spans="1:8" x14ac:dyDescent="0.45">
      <c r="A17" t="str">
        <v>North</v>
      </c>
      <c r="B17" s="3">
        <v>28607.469999999998</v>
      </c>
      <c r="D17" s="14" t="str">
        <v>Atlas Hub</v>
      </c>
      <c r="E17" s="3">
        <v>28687.019999999997</v>
      </c>
    </row>
    <row r="18" spans="1:8" x14ac:dyDescent="0.45">
      <c r="A18" t="str">
        <v>South</v>
      </c>
      <c r="B18" s="3">
        <v>24545.45</v>
      </c>
      <c r="D18" s="14" t="str">
        <v>Delta Gateway</v>
      </c>
      <c r="E18" s="3">
        <v>27518.400000000001</v>
      </c>
      <c r="G18" s="17" t="s">
        <v>84</v>
      </c>
      <c r="H18" s="18" t="s">
        <v>15</v>
      </c>
    </row>
    <row r="19" spans="1:8" x14ac:dyDescent="0.45">
      <c r="A19" t="str">
        <v>West</v>
      </c>
      <c r="B19" s="3">
        <v>26226.66</v>
      </c>
      <c r="G19" s="17" t="s">
        <v>67</v>
      </c>
      <c r="H19" s="19">
        <f>SUMIFS(tblSales[Revenue],tblSales[Region],H18)</f>
        <v>28607.469999999998</v>
      </c>
    </row>
    <row r="20" spans="1:8" x14ac:dyDescent="0.45">
      <c r="B20" s="3"/>
      <c r="G20" s="17" t="s">
        <v>68</v>
      </c>
      <c r="H20" s="19">
        <f>SUMIFS(tblSales[Profit],tblSales[Region],H18)</f>
        <v>9752.0299999999988</v>
      </c>
    </row>
    <row r="21" spans="1:8" x14ac:dyDescent="0.45">
      <c r="G21" s="17" t="s">
        <v>69</v>
      </c>
      <c r="H21" s="20">
        <f>H20/H19</f>
        <v>0.34089103300641405</v>
      </c>
    </row>
    <row r="22" spans="1:8" x14ac:dyDescent="0.45">
      <c r="G22" s="17" t="s">
        <v>85</v>
      </c>
      <c r="H22" s="21">
        <f>COUNTIFS(tblSales[Region],H18)</f>
        <v>4</v>
      </c>
    </row>
    <row r="23" spans="1:8" x14ac:dyDescent="0.45">
      <c r="G23" s="17" t="s">
        <v>86</v>
      </c>
      <c r="H23" s="18" t="str" cm="1">
        <f t="array" ref="H23">INDEX(tblSales[Representative],_xlfn.XMATCH(_xlfn.MAXIFS(tblSales[Profit],tblSales[Region],H18),tblSales[Profit]))</f>
        <v>Maya Carter</v>
      </c>
    </row>
  </sheetData>
  <mergeCells count="7">
    <mergeCell ref="A13:B13"/>
    <mergeCell ref="D13:E13"/>
    <mergeCell ref="G16:J16"/>
    <mergeCell ref="A1:J1"/>
    <mergeCell ref="A2:J2"/>
    <mergeCell ref="A4:D4"/>
    <mergeCell ref="F4:J4"/>
  </mergeCells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B5E9D-0FC3-4E7C-BABF-E9ABB382D58D}">
  <dimension ref="A1:M17"/>
  <sheetViews>
    <sheetView workbookViewId="0">
      <selection activeCell="E39" sqref="E39"/>
    </sheetView>
  </sheetViews>
  <sheetFormatPr defaultRowHeight="14.25" x14ac:dyDescent="0.45"/>
  <cols>
    <col min="1" max="1" width="9.59765625" bestFit="1" customWidth="1"/>
    <col min="2" max="2" width="22.53125" bestFit="1" customWidth="1"/>
    <col min="3" max="3" width="8.3984375" bestFit="1" customWidth="1"/>
    <col min="4" max="4" width="10" bestFit="1" customWidth="1"/>
    <col min="5" max="5" width="12.33203125" bestFit="1" customWidth="1"/>
    <col min="6" max="6" width="15.1328125" bestFit="1" customWidth="1"/>
    <col min="7" max="7" width="7.06640625" bestFit="1" customWidth="1"/>
    <col min="8" max="8" width="10.6640625" bestFit="1" customWidth="1"/>
    <col min="9" max="9" width="10" bestFit="1" customWidth="1"/>
    <col min="10" max="10" width="9.9296875" bestFit="1" customWidth="1"/>
    <col min="11" max="11" width="7" bestFit="1" customWidth="1"/>
    <col min="12" max="12" width="7.33203125" bestFit="1" customWidth="1"/>
    <col min="13" max="13" width="10.06640625" bestFit="1" customWidth="1"/>
  </cols>
  <sheetData>
    <row r="1" spans="1:13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 x14ac:dyDescent="0.45">
      <c r="A2" t="s">
        <v>13</v>
      </c>
      <c r="B2" s="1" t="s">
        <v>14</v>
      </c>
      <c r="C2" t="s">
        <v>15</v>
      </c>
      <c r="D2" t="s">
        <v>16</v>
      </c>
      <c r="E2" t="s">
        <v>17</v>
      </c>
      <c r="F2" t="s">
        <v>18</v>
      </c>
      <c r="G2" s="2">
        <v>42</v>
      </c>
      <c r="H2" s="3">
        <v>129</v>
      </c>
      <c r="I2" s="3">
        <v>0.05</v>
      </c>
      <c r="J2" s="3">
        <f>tblSales[[#This Row],[Units]]*tblSales[[#This Row],[Unit Price]]*(1-tblSales[[#This Row],[Discount]])</f>
        <v>5147.0999999999995</v>
      </c>
      <c r="K2" s="3">
        <f>tblSales[[#This Row],[Units]]*tblSales[[#This Row],[Unit Price]]*0.62</f>
        <v>3359.16</v>
      </c>
      <c r="L2" s="3">
        <f>tblSales[[#This Row],[Revenue]]-tblSales[[#This Row],[Cost]]</f>
        <v>1787.9399999999996</v>
      </c>
      <c r="M2" s="4">
        <f>tblSales[[#This Row],[Profit]]/tblSales[[#This Row],[Revenue]]</f>
        <v>0.34736842105263155</v>
      </c>
    </row>
    <row r="3" spans="1:13" x14ac:dyDescent="0.45">
      <c r="A3" t="s">
        <v>19</v>
      </c>
      <c r="B3" s="1" t="s">
        <v>20</v>
      </c>
      <c r="C3" t="s">
        <v>21</v>
      </c>
      <c r="D3" t="s">
        <v>22</v>
      </c>
      <c r="E3" t="s">
        <v>23</v>
      </c>
      <c r="F3" t="s">
        <v>24</v>
      </c>
      <c r="G3" s="2">
        <v>88</v>
      </c>
      <c r="H3" s="3">
        <v>45</v>
      </c>
      <c r="I3" s="3">
        <v>0</v>
      </c>
      <c r="J3" s="3">
        <f>tblSales[[#This Row],[Units]]*tblSales[[#This Row],[Unit Price]]*(1-tblSales[[#This Row],[Discount]])</f>
        <v>3960</v>
      </c>
      <c r="K3" s="3">
        <f>tblSales[[#This Row],[Units]]*tblSales[[#This Row],[Unit Price]]*0.62</f>
        <v>2455.1999999999998</v>
      </c>
      <c r="L3" s="3">
        <f>tblSales[[#This Row],[Revenue]]-tblSales[[#This Row],[Cost]]</f>
        <v>1504.8000000000002</v>
      </c>
      <c r="M3" s="4">
        <f>tblSales[[#This Row],[Profit]]/tblSales[[#This Row],[Revenue]]</f>
        <v>0.38000000000000006</v>
      </c>
    </row>
    <row r="4" spans="1:13" x14ac:dyDescent="0.45">
      <c r="A4" t="s">
        <v>25</v>
      </c>
      <c r="B4" s="1" t="s">
        <v>26</v>
      </c>
      <c r="C4" t="s">
        <v>27</v>
      </c>
      <c r="D4" t="s">
        <v>28</v>
      </c>
      <c r="E4" t="s">
        <v>29</v>
      </c>
      <c r="F4" t="s">
        <v>30</v>
      </c>
      <c r="G4" s="2">
        <v>19</v>
      </c>
      <c r="H4" s="3">
        <v>299</v>
      </c>
      <c r="I4" s="3">
        <v>0.08</v>
      </c>
      <c r="J4" s="3">
        <f>tblSales[[#This Row],[Units]]*tblSales[[#This Row],[Unit Price]]*(1-tblSales[[#This Row],[Discount]])</f>
        <v>5226.5200000000004</v>
      </c>
      <c r="K4" s="3">
        <f>tblSales[[#This Row],[Units]]*tblSales[[#This Row],[Unit Price]]*0.62</f>
        <v>3522.22</v>
      </c>
      <c r="L4" s="3">
        <f>tblSales[[#This Row],[Revenue]]-tblSales[[#This Row],[Cost]]</f>
        <v>1704.3000000000006</v>
      </c>
      <c r="M4" s="4">
        <f>tblSales[[#This Row],[Profit]]/tblSales[[#This Row],[Revenue]]</f>
        <v>0.32608695652173925</v>
      </c>
    </row>
    <row r="5" spans="1:13" x14ac:dyDescent="0.45">
      <c r="A5" t="s">
        <v>31</v>
      </c>
      <c r="B5" s="1" t="s">
        <v>32</v>
      </c>
      <c r="C5" t="s">
        <v>33</v>
      </c>
      <c r="D5" t="s">
        <v>16</v>
      </c>
      <c r="E5" t="s">
        <v>34</v>
      </c>
      <c r="F5" t="s">
        <v>35</v>
      </c>
      <c r="G5" s="2">
        <v>33</v>
      </c>
      <c r="H5" s="3">
        <v>189</v>
      </c>
      <c r="I5" s="3">
        <v>0.03</v>
      </c>
      <c r="J5" s="3">
        <f>tblSales[[#This Row],[Units]]*tblSales[[#This Row],[Unit Price]]*(1-tblSales[[#This Row],[Discount]])</f>
        <v>6049.8899999999994</v>
      </c>
      <c r="K5" s="3">
        <f>tblSales[[#This Row],[Units]]*tblSales[[#This Row],[Unit Price]]*0.62</f>
        <v>3866.94</v>
      </c>
      <c r="L5" s="3">
        <f>tblSales[[#This Row],[Revenue]]-tblSales[[#This Row],[Cost]]</f>
        <v>2182.9499999999994</v>
      </c>
      <c r="M5" s="4">
        <f>tblSales[[#This Row],[Profit]]/tblSales[[#This Row],[Revenue]]</f>
        <v>0.36082474226804118</v>
      </c>
    </row>
    <row r="6" spans="1:13" x14ac:dyDescent="0.45">
      <c r="A6" t="s">
        <v>36</v>
      </c>
      <c r="B6" s="1" t="s">
        <v>37</v>
      </c>
      <c r="C6" t="s">
        <v>15</v>
      </c>
      <c r="D6" t="s">
        <v>22</v>
      </c>
      <c r="E6" t="s">
        <v>17</v>
      </c>
      <c r="F6" t="s">
        <v>18</v>
      </c>
      <c r="G6" s="2">
        <v>57</v>
      </c>
      <c r="H6" s="3">
        <v>129</v>
      </c>
      <c r="I6" s="3">
        <v>0.1</v>
      </c>
      <c r="J6" s="3">
        <f>tblSales[[#This Row],[Units]]*tblSales[[#This Row],[Unit Price]]*(1-tblSales[[#This Row],[Discount]])</f>
        <v>6617.7</v>
      </c>
      <c r="K6" s="3">
        <f>tblSales[[#This Row],[Units]]*tblSales[[#This Row],[Unit Price]]*0.62</f>
        <v>4558.8599999999997</v>
      </c>
      <c r="L6" s="3">
        <f>tblSales[[#This Row],[Revenue]]-tblSales[[#This Row],[Cost]]</f>
        <v>2058.84</v>
      </c>
      <c r="M6" s="4">
        <f>tblSales[[#This Row],[Profit]]/tblSales[[#This Row],[Revenue]]</f>
        <v>0.31111111111111112</v>
      </c>
    </row>
    <row r="7" spans="1:13" x14ac:dyDescent="0.45">
      <c r="A7" t="s">
        <v>38</v>
      </c>
      <c r="B7" s="1" t="s">
        <v>39</v>
      </c>
      <c r="C7" t="s">
        <v>21</v>
      </c>
      <c r="D7" t="s">
        <v>28</v>
      </c>
      <c r="E7" t="s">
        <v>29</v>
      </c>
      <c r="F7" t="s">
        <v>40</v>
      </c>
      <c r="G7" s="2">
        <v>24</v>
      </c>
      <c r="H7" s="3">
        <v>299</v>
      </c>
      <c r="I7" s="3">
        <v>0.05</v>
      </c>
      <c r="J7" s="3">
        <f>tblSales[[#This Row],[Units]]*tblSales[[#This Row],[Unit Price]]*(1-tblSales[[#This Row],[Discount]])</f>
        <v>6817.2</v>
      </c>
      <c r="K7" s="3">
        <f>tblSales[[#This Row],[Units]]*tblSales[[#This Row],[Unit Price]]*0.62</f>
        <v>4449.12</v>
      </c>
      <c r="L7" s="3">
        <f>tblSales[[#This Row],[Revenue]]-tblSales[[#This Row],[Cost]]</f>
        <v>2368.08</v>
      </c>
      <c r="M7" s="4">
        <f>tblSales[[#This Row],[Profit]]/tblSales[[#This Row],[Revenue]]</f>
        <v>0.3473684210526316</v>
      </c>
    </row>
    <row r="8" spans="1:13" x14ac:dyDescent="0.45">
      <c r="A8" t="s">
        <v>41</v>
      </c>
      <c r="B8" s="1" t="s">
        <v>42</v>
      </c>
      <c r="C8" t="s">
        <v>27</v>
      </c>
      <c r="D8" t="s">
        <v>16</v>
      </c>
      <c r="E8" t="s">
        <v>23</v>
      </c>
      <c r="F8" t="s">
        <v>43</v>
      </c>
      <c r="G8" s="2">
        <v>120</v>
      </c>
      <c r="H8" s="3">
        <v>45</v>
      </c>
      <c r="I8" s="3">
        <v>0.02</v>
      </c>
      <c r="J8" s="3">
        <f>tblSales[[#This Row],[Units]]*tblSales[[#This Row],[Unit Price]]*(1-tblSales[[#This Row],[Discount]])</f>
        <v>5292</v>
      </c>
      <c r="K8" s="3">
        <f>tblSales[[#This Row],[Units]]*tblSales[[#This Row],[Unit Price]]*0.62</f>
        <v>3348</v>
      </c>
      <c r="L8" s="3">
        <f>tblSales[[#This Row],[Revenue]]-tblSales[[#This Row],[Cost]]</f>
        <v>1944</v>
      </c>
      <c r="M8" s="4">
        <f>tblSales[[#This Row],[Profit]]/tblSales[[#This Row],[Revenue]]</f>
        <v>0.36734693877551022</v>
      </c>
    </row>
    <row r="9" spans="1:13" x14ac:dyDescent="0.45">
      <c r="A9" t="s">
        <v>44</v>
      </c>
      <c r="B9" s="1" t="s">
        <v>45</v>
      </c>
      <c r="C9" t="s">
        <v>33</v>
      </c>
      <c r="D9" t="s">
        <v>22</v>
      </c>
      <c r="E9" t="s">
        <v>34</v>
      </c>
      <c r="F9" t="s">
        <v>35</v>
      </c>
      <c r="G9" s="2">
        <v>41</v>
      </c>
      <c r="H9" s="3">
        <v>189</v>
      </c>
      <c r="I9" s="3">
        <v>0</v>
      </c>
      <c r="J9" s="3">
        <f>tblSales[[#This Row],[Units]]*tblSales[[#This Row],[Unit Price]]*(1-tblSales[[#This Row],[Discount]])</f>
        <v>7749</v>
      </c>
      <c r="K9" s="3">
        <f>tblSales[[#This Row],[Units]]*tblSales[[#This Row],[Unit Price]]*0.62</f>
        <v>4804.38</v>
      </c>
      <c r="L9" s="3">
        <f>tblSales[[#This Row],[Revenue]]-tblSales[[#This Row],[Cost]]</f>
        <v>2944.62</v>
      </c>
      <c r="M9" s="4">
        <f>tblSales[[#This Row],[Profit]]/tblSales[[#This Row],[Revenue]]</f>
        <v>0.38</v>
      </c>
    </row>
    <row r="10" spans="1:13" x14ac:dyDescent="0.45">
      <c r="A10" t="s">
        <v>46</v>
      </c>
      <c r="B10" s="1" t="s">
        <v>47</v>
      </c>
      <c r="C10" t="s">
        <v>15</v>
      </c>
      <c r="D10" t="s">
        <v>28</v>
      </c>
      <c r="E10" t="s">
        <v>29</v>
      </c>
      <c r="F10" t="s">
        <v>30</v>
      </c>
      <c r="G10" s="2">
        <v>28</v>
      </c>
      <c r="H10" s="3">
        <v>299</v>
      </c>
      <c r="I10" s="3">
        <v>0.04</v>
      </c>
      <c r="J10" s="3">
        <f>tblSales[[#This Row],[Units]]*tblSales[[#This Row],[Unit Price]]*(1-tblSales[[#This Row],[Discount]])</f>
        <v>8037.12</v>
      </c>
      <c r="K10" s="3">
        <f>tblSales[[#This Row],[Units]]*tblSales[[#This Row],[Unit Price]]*0.62</f>
        <v>5190.6400000000003</v>
      </c>
      <c r="L10" s="3">
        <f>tblSales[[#This Row],[Revenue]]-tblSales[[#This Row],[Cost]]</f>
        <v>2846.4799999999996</v>
      </c>
      <c r="M10" s="4">
        <f>tblSales[[#This Row],[Profit]]/tblSales[[#This Row],[Revenue]]</f>
        <v>0.35416666666666663</v>
      </c>
    </row>
    <row r="11" spans="1:13" x14ac:dyDescent="0.45">
      <c r="A11" t="s">
        <v>48</v>
      </c>
      <c r="B11" s="1" t="s">
        <v>49</v>
      </c>
      <c r="C11" t="s">
        <v>21</v>
      </c>
      <c r="D11" t="s">
        <v>16</v>
      </c>
      <c r="E11" t="s">
        <v>17</v>
      </c>
      <c r="F11" t="s">
        <v>24</v>
      </c>
      <c r="G11" s="2">
        <v>65</v>
      </c>
      <c r="H11" s="3">
        <v>129</v>
      </c>
      <c r="I11" s="3">
        <v>0.06</v>
      </c>
      <c r="J11" s="3">
        <f>tblSales[[#This Row],[Units]]*tblSales[[#This Row],[Unit Price]]*(1-tblSales[[#This Row],[Discount]])</f>
        <v>7881.9</v>
      </c>
      <c r="K11" s="3">
        <f>tblSales[[#This Row],[Units]]*tblSales[[#This Row],[Unit Price]]*0.62</f>
        <v>5198.7</v>
      </c>
      <c r="L11" s="3">
        <f>tblSales[[#This Row],[Revenue]]-tblSales[[#This Row],[Cost]]</f>
        <v>2683.2</v>
      </c>
      <c r="M11" s="4">
        <f>tblSales[[#This Row],[Profit]]/tblSales[[#This Row],[Revenue]]</f>
        <v>0.34042553191489361</v>
      </c>
    </row>
    <row r="12" spans="1:13" x14ac:dyDescent="0.45">
      <c r="A12" t="s">
        <v>50</v>
      </c>
      <c r="B12" s="1" t="s">
        <v>51</v>
      </c>
      <c r="C12" t="s">
        <v>27</v>
      </c>
      <c r="D12" t="s">
        <v>22</v>
      </c>
      <c r="E12" t="s">
        <v>34</v>
      </c>
      <c r="F12" t="s">
        <v>43</v>
      </c>
      <c r="G12" s="2">
        <v>35</v>
      </c>
      <c r="H12" s="3">
        <v>189</v>
      </c>
      <c r="I12" s="3">
        <v>7.0000000000000007E-2</v>
      </c>
      <c r="J12" s="3">
        <f>tblSales[[#This Row],[Units]]*tblSales[[#This Row],[Unit Price]]*(1-tblSales[[#This Row],[Discount]])</f>
        <v>6151.95</v>
      </c>
      <c r="K12" s="3">
        <f>tblSales[[#This Row],[Units]]*tblSales[[#This Row],[Unit Price]]*0.62</f>
        <v>4101.3</v>
      </c>
      <c r="L12" s="3">
        <f>tblSales[[#This Row],[Revenue]]-tblSales[[#This Row],[Cost]]</f>
        <v>2050.6499999999996</v>
      </c>
      <c r="M12" s="4">
        <f>tblSales[[#This Row],[Profit]]/tblSales[[#This Row],[Revenue]]</f>
        <v>0.33333333333333326</v>
      </c>
    </row>
    <row r="13" spans="1:13" x14ac:dyDescent="0.45">
      <c r="A13" t="s">
        <v>52</v>
      </c>
      <c r="B13" s="1" t="s">
        <v>53</v>
      </c>
      <c r="C13" t="s">
        <v>33</v>
      </c>
      <c r="D13" t="s">
        <v>28</v>
      </c>
      <c r="E13" t="s">
        <v>23</v>
      </c>
      <c r="F13" t="s">
        <v>40</v>
      </c>
      <c r="G13" s="2">
        <v>98</v>
      </c>
      <c r="H13" s="3">
        <v>45</v>
      </c>
      <c r="I13" s="3">
        <v>0.01</v>
      </c>
      <c r="J13" s="3">
        <f>tblSales[[#This Row],[Units]]*tblSales[[#This Row],[Unit Price]]*(1-tblSales[[#This Row],[Discount]])</f>
        <v>4365.8999999999996</v>
      </c>
      <c r="K13" s="3">
        <f>tblSales[[#This Row],[Units]]*tblSales[[#This Row],[Unit Price]]*0.62</f>
        <v>2734.2</v>
      </c>
      <c r="L13" s="3">
        <f>tblSales[[#This Row],[Revenue]]-tblSales[[#This Row],[Cost]]</f>
        <v>1631.6999999999998</v>
      </c>
      <c r="M13" s="4">
        <f>tblSales[[#This Row],[Profit]]/tblSales[[#This Row],[Revenue]]</f>
        <v>0.3737373737373737</v>
      </c>
    </row>
    <row r="14" spans="1:13" x14ac:dyDescent="0.45">
      <c r="A14" t="s">
        <v>54</v>
      </c>
      <c r="B14" s="1" t="s">
        <v>55</v>
      </c>
      <c r="C14" t="s">
        <v>15</v>
      </c>
      <c r="D14" t="s">
        <v>16</v>
      </c>
      <c r="E14" t="s">
        <v>29</v>
      </c>
      <c r="F14" t="s">
        <v>18</v>
      </c>
      <c r="G14" s="2">
        <v>31</v>
      </c>
      <c r="H14" s="3">
        <v>299</v>
      </c>
      <c r="I14" s="3">
        <v>0.05</v>
      </c>
      <c r="J14" s="3">
        <f>tblSales[[#This Row],[Units]]*tblSales[[#This Row],[Unit Price]]*(1-tblSales[[#This Row],[Discount]])</f>
        <v>8805.5499999999993</v>
      </c>
      <c r="K14" s="3">
        <f>tblSales[[#This Row],[Units]]*tblSales[[#This Row],[Unit Price]]*0.62</f>
        <v>5746.78</v>
      </c>
      <c r="L14" s="3">
        <f>tblSales[[#This Row],[Revenue]]-tblSales[[#This Row],[Cost]]</f>
        <v>3058.7699999999995</v>
      </c>
      <c r="M14" s="4">
        <f>tblSales[[#This Row],[Profit]]/tblSales[[#This Row],[Revenue]]</f>
        <v>0.34736842105263155</v>
      </c>
    </row>
    <row r="15" spans="1:13" x14ac:dyDescent="0.45">
      <c r="A15" t="s">
        <v>56</v>
      </c>
      <c r="B15" s="1" t="s">
        <v>57</v>
      </c>
      <c r="C15" t="s">
        <v>21</v>
      </c>
      <c r="D15" t="s">
        <v>22</v>
      </c>
      <c r="E15" t="s">
        <v>34</v>
      </c>
      <c r="F15" t="s">
        <v>24</v>
      </c>
      <c r="G15" s="2">
        <v>44</v>
      </c>
      <c r="H15" s="3">
        <v>189</v>
      </c>
      <c r="I15" s="3">
        <v>0.09</v>
      </c>
      <c r="J15" s="3">
        <f>tblSales[[#This Row],[Units]]*tblSales[[#This Row],[Unit Price]]*(1-tblSales[[#This Row],[Discount]])</f>
        <v>7567.56</v>
      </c>
      <c r="K15" s="3">
        <f>tblSales[[#This Row],[Units]]*tblSales[[#This Row],[Unit Price]]*0.62</f>
        <v>5155.92</v>
      </c>
      <c r="L15" s="3">
        <f>tblSales[[#This Row],[Revenue]]-tblSales[[#This Row],[Cost]]</f>
        <v>2411.6400000000003</v>
      </c>
      <c r="M15" s="4">
        <f>tblSales[[#This Row],[Profit]]/tblSales[[#This Row],[Revenue]]</f>
        <v>0.31868131868131871</v>
      </c>
    </row>
    <row r="16" spans="1:13" x14ac:dyDescent="0.45">
      <c r="A16" t="s">
        <v>58</v>
      </c>
      <c r="B16" s="1" t="s">
        <v>59</v>
      </c>
      <c r="C16" t="s">
        <v>27</v>
      </c>
      <c r="D16" t="s">
        <v>28</v>
      </c>
      <c r="E16" t="s">
        <v>17</v>
      </c>
      <c r="F16" t="s">
        <v>30</v>
      </c>
      <c r="G16" s="2">
        <v>73</v>
      </c>
      <c r="H16" s="3">
        <v>129</v>
      </c>
      <c r="I16" s="3">
        <v>0.04</v>
      </c>
      <c r="J16" s="3">
        <f>tblSales[[#This Row],[Units]]*tblSales[[#This Row],[Unit Price]]*(1-tblSales[[#This Row],[Discount]])</f>
        <v>9040.32</v>
      </c>
      <c r="K16" s="3">
        <f>tblSales[[#This Row],[Units]]*tblSales[[#This Row],[Unit Price]]*0.62</f>
        <v>5838.54</v>
      </c>
      <c r="L16" s="3">
        <f>tblSales[[#This Row],[Revenue]]-tblSales[[#This Row],[Cost]]</f>
        <v>3201.7799999999997</v>
      </c>
      <c r="M16" s="4">
        <f>tblSales[[#This Row],[Profit]]/tblSales[[#This Row],[Revenue]]</f>
        <v>0.35416666666666663</v>
      </c>
    </row>
    <row r="17" spans="1:13" x14ac:dyDescent="0.45">
      <c r="A17" t="s">
        <v>60</v>
      </c>
      <c r="B17" s="1" t="s">
        <v>61</v>
      </c>
      <c r="C17" t="s">
        <v>33</v>
      </c>
      <c r="D17" t="s">
        <v>16</v>
      </c>
      <c r="E17" t="s">
        <v>29</v>
      </c>
      <c r="F17" t="s">
        <v>35</v>
      </c>
      <c r="G17" s="2">
        <v>22</v>
      </c>
      <c r="H17" s="3">
        <v>299</v>
      </c>
      <c r="I17" s="3">
        <v>0.03</v>
      </c>
      <c r="J17" s="3">
        <f>tblSales[[#This Row],[Units]]*tblSales[[#This Row],[Unit Price]]*(1-tblSales[[#This Row],[Discount]])</f>
        <v>6380.66</v>
      </c>
      <c r="K17" s="3">
        <f>tblSales[[#This Row],[Units]]*tblSales[[#This Row],[Unit Price]]*0.62</f>
        <v>4078.36</v>
      </c>
      <c r="L17" s="3">
        <f>tblSales[[#This Row],[Revenue]]-tblSales[[#This Row],[Cost]]</f>
        <v>2302.2999999999997</v>
      </c>
      <c r="M17" s="4">
        <f>tblSales[[#This Row],[Profit]]/tblSales[[#This Row],[Revenue]]</f>
        <v>0.36082474226804118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9D626-28AB-4808-B8CC-238368D9082D}">
  <dimension ref="A1:D11"/>
  <sheetViews>
    <sheetView tabSelected="1" workbookViewId="0">
      <selection sqref="A1:D1"/>
    </sheetView>
  </sheetViews>
  <sheetFormatPr defaultRowHeight="14.25" x14ac:dyDescent="0.45"/>
  <cols>
    <col min="1" max="1" width="21.33203125" customWidth="1"/>
    <col min="2" max="3" width="33.796875" customWidth="1"/>
    <col min="4" max="4" width="13.33203125" customWidth="1"/>
  </cols>
  <sheetData>
    <row r="1" spans="1:4" ht="23.25" x14ac:dyDescent="0.7">
      <c r="A1" s="9" t="s">
        <v>87</v>
      </c>
      <c r="B1" s="10"/>
      <c r="C1" s="10"/>
      <c r="D1" s="10"/>
    </row>
    <row r="2" spans="1:4" x14ac:dyDescent="0.45">
      <c r="A2" s="8" t="s">
        <v>88</v>
      </c>
      <c r="B2" s="7"/>
      <c r="C2" s="7"/>
      <c r="D2" s="7"/>
    </row>
    <row r="4" spans="1:4" x14ac:dyDescent="0.45">
      <c r="A4" s="11" t="s">
        <v>89</v>
      </c>
      <c r="B4" s="11"/>
      <c r="C4" s="11"/>
      <c r="D4" s="11"/>
    </row>
    <row r="6" spans="1:4" x14ac:dyDescent="0.45">
      <c r="A6" s="12" t="s">
        <v>90</v>
      </c>
      <c r="B6" s="12" t="s">
        <v>91</v>
      </c>
      <c r="C6" s="12" t="s">
        <v>92</v>
      </c>
      <c r="D6" s="12" t="s">
        <v>93</v>
      </c>
    </row>
    <row r="7" spans="1:4" ht="28.5" x14ac:dyDescent="0.45">
      <c r="A7" s="14" t="s">
        <v>94</v>
      </c>
      <c r="B7" s="14" t="s">
        <v>95</v>
      </c>
      <c r="C7" s="14" t="s">
        <v>96</v>
      </c>
      <c r="D7" t="s">
        <v>97</v>
      </c>
    </row>
    <row r="8" spans="1:4" ht="28.5" x14ac:dyDescent="0.45">
      <c r="A8" s="14" t="s">
        <v>98</v>
      </c>
      <c r="B8" s="14" t="s">
        <v>99</v>
      </c>
      <c r="C8" s="14" t="s">
        <v>100</v>
      </c>
      <c r="D8" t="s">
        <v>97</v>
      </c>
    </row>
    <row r="9" spans="1:4" ht="28.5" x14ac:dyDescent="0.45">
      <c r="A9" s="14" t="s">
        <v>101</v>
      </c>
      <c r="B9" s="14" t="s">
        <v>102</v>
      </c>
      <c r="C9" s="14" t="s">
        <v>103</v>
      </c>
      <c r="D9" t="s">
        <v>97</v>
      </c>
    </row>
    <row r="10" spans="1:4" x14ac:dyDescent="0.45">
      <c r="A10" s="14" t="s">
        <v>104</v>
      </c>
      <c r="B10" s="14" t="s">
        <v>105</v>
      </c>
      <c r="C10" s="14" t="s">
        <v>106</v>
      </c>
      <c r="D10" t="s">
        <v>97</v>
      </c>
    </row>
    <row r="11" spans="1:4" x14ac:dyDescent="0.45">
      <c r="A11" s="22" t="s">
        <v>107</v>
      </c>
      <c r="B11" s="7"/>
      <c r="C11" s="7"/>
      <c r="D11" s="7"/>
    </row>
  </sheetData>
  <mergeCells count="4">
    <mergeCell ref="A1:D1"/>
    <mergeCell ref="A2:D2"/>
    <mergeCell ref="A4:D4"/>
    <mergeCell ref="A11:D11"/>
  </mergeCells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Cover</vt:lpstr>
      <vt:lpstr>Formula Lab</vt:lpstr>
      <vt:lpstr>Sales Data</vt:lpstr>
      <vt:lpstr>Review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Melka</dc:creator>
  <cp:lastModifiedBy>Jakub Melka</cp:lastModifiedBy>
  <dcterms:created xsi:type="dcterms:W3CDTF">2026-08-02T15:09:15Z</dcterms:created>
  <dcterms:modified xsi:type="dcterms:W3CDTF">2026-08-02T15:29:17Z</dcterms:modified>
</cp:coreProperties>
</file>