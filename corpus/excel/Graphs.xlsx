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\EverydayOffice\EverydayOffice2\corpus\excel\"/>
    </mc:Choice>
  </mc:AlternateContent>
  <xr:revisionPtr revIDLastSave="0" documentId="8_{5D17B39B-E719-4768-A8EF-6DF7B48BE284}" xr6:coauthVersionLast="47" xr6:coauthVersionMax="47" xr10:uidLastSave="{00000000-0000-0000-0000-000000000000}"/>
  <bookViews>
    <workbookView xWindow="-240000" yWindow="-240000" windowWidth="2355" windowHeight="532" xr2:uid="{5AE1301A-499A-47D8-B23D-C9C62C54D69C}"/>
  </bookViews>
  <sheets>
    <sheet name="Cover" sheetId="29" r:id="rId1"/>
    <sheet name="Trend Charts" sheetId="30" r:id="rId2"/>
    <sheet name="Comparison Charts" sheetId="31" r:id="rId3"/>
    <sheet name="Composition Charts" sheetId="32" r:id="rId4"/>
    <sheet name="Statistical Charts" sheetId="33" r:id="rId5"/>
    <sheet name="Relationship Charts" sheetId="34" r:id="rId6"/>
    <sheet name="Sample Data" sheetId="35" r:id="rId7"/>
  </sheets>
  <definedNames>
    <definedName name="_xlchart.v1.0" hidden="1">'Sample Data'!$J$14:$J$19</definedName>
    <definedName name="_xlchart.v1.1" hidden="1">'Sample Data'!$K$13</definedName>
    <definedName name="_xlchart.v1.10" hidden="1">'Sample Data'!$D$31</definedName>
    <definedName name="_xlchart.v1.11" hidden="1">'Sample Data'!$D$32:$D$41</definedName>
    <definedName name="_xlchart.v1.12" hidden="1">'Sample Data'!$E$31</definedName>
    <definedName name="_xlchart.v1.13" hidden="1">'Sample Data'!$E$32:$E$41</definedName>
    <definedName name="_xlchart.v1.2" hidden="1">'Sample Data'!$K$14:$K$19</definedName>
    <definedName name="_xlchart.v1.3" hidden="1">'Sample Data'!$J$24:$K$30</definedName>
    <definedName name="_xlchart.v1.4" hidden="1">'Sample Data'!$L$23</definedName>
    <definedName name="_xlchart.v1.5" hidden="1">'Sample Data'!$L$24:$L$30</definedName>
    <definedName name="_xlchart.v1.6" hidden="1">'Sample Data'!$A$31</definedName>
    <definedName name="_xlchart.v1.7" hidden="1">'Sample Data'!$A$32:$A$55</definedName>
    <definedName name="_xlchart.v1.8" hidden="1">'Sample Data'!$C$31</definedName>
    <definedName name="_xlchart.v1.9" hidden="1">'Sample Data'!$C$32:$C$41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35" l="1"/>
  <c r="H23" i="35"/>
  <c r="H24" i="35"/>
  <c r="H25" i="35"/>
  <c r="H26" i="35"/>
  <c r="E22" i="35"/>
  <c r="E23" i="35"/>
  <c r="E24" i="35"/>
  <c r="E25" i="35"/>
  <c r="E26" i="35"/>
</calcChain>
</file>

<file path=xl/sharedStrings.xml><?xml version="1.0" encoding="utf-8"?>
<sst xmlns="http://schemas.openxmlformats.org/spreadsheetml/2006/main" count="144" uniqueCount="108">
  <si>
    <t>Graphs Survey</t>
  </si>
  <si>
    <t>A presentation-ready workbook showing what Excel charts can communicate.</t>
  </si>
  <si>
    <t>STORY IN BRIEF</t>
  </si>
  <si>
    <t>This workbook is an English-language gallery of Excel chart types. It uses small sample datasets so each chart is easy to explain in a live demo: trends over time, category comparisons, part-to-whole views, statistical distributions, and relationship analysis. The source data is kept on a dedicated Sample Data sheet so presenters can show both the visual output and the underlying numbers.</t>
  </si>
  <si>
    <t>Sheet</t>
  </si>
  <si>
    <t>What it demonstrates</t>
  </si>
  <si>
    <t>Trend Charts</t>
  </si>
  <si>
    <t>Line and area charts for time-series storytelling.</t>
  </si>
  <si>
    <t>Comparison Charts</t>
  </si>
  <si>
    <t>Column and bar charts for comparing categories.</t>
  </si>
  <si>
    <t>Composition Charts</t>
  </si>
  <si>
    <t>Pie, doughnut, stacked column, waterfall, and treemap examples.</t>
  </si>
  <si>
    <t>Statistical Charts</t>
  </si>
  <si>
    <t>Histogram and box &amp; whisker charts for distributions.</t>
  </si>
  <si>
    <t>Relationship Charts</t>
  </si>
  <si>
    <t>Scatter, bubble, and radar charts for relationships and profiles.</t>
  </si>
  <si>
    <t>Sample Data</t>
  </si>
  <si>
    <t>All source tables used by the chart gallery.</t>
  </si>
  <si>
    <t>Compact demo datasets used by every chart in the Graphs Survey workbook.</t>
  </si>
  <si>
    <t>Month</t>
  </si>
  <si>
    <t>Revenue</t>
  </si>
  <si>
    <t>Profit</t>
  </si>
  <si>
    <t>Customers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</si>
  <si>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</si>
  <si>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</si>
  <si>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</si>
  <si>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</si>
  <si>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</si>
  <si>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</si>
  <si>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</si>
  <si>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</si>
  <si>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</si>
  <si>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</si>
  <si>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</si>
  <si>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</si>
  <si>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</si>
  <si>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Product A</t>
  </si>
  <si>
    <t>Product B</t>
  </si>
  <si>
    <t>Product C</t>
  </si>
  <si>
    <t>Total</t>
  </si>
  <si>
    <t>North</t>
  </si>
  <si>
    <t>South</t>
  </si>
  <si>
    <t>East</t>
  </si>
  <si>
    <t>West</t>
  </si>
  <si>
    <t>Central</t>
  </si>
  <si>
    <t>Category</t>
  </si>
  <si>
    <t>Share</t>
  </si>
  <si>
    <t>Software</t>
  </si>
  <si>
    <t>Services</t>
  </si>
  <si>
    <t>Hardware</t>
  </si>
  <si>
    <t>Training</t>
  </si>
  <si>
    <t>Support</t>
  </si>
  <si>
    <t>Step</t>
  </si>
  <si>
    <t>Amount</t>
  </si>
  <si>
    <t>Starting Revenue</t>
  </si>
  <si>
    <t>New Customers</t>
  </si>
  <si>
    <t>Expansion</t>
  </si>
  <si>
    <t>Churn</t>
  </si>
  <si>
    <t>Discounts</t>
  </si>
  <si>
    <t>Ending Revenue</t>
  </si>
  <si>
    <t>Division</t>
  </si>
  <si>
    <t>Product</t>
  </si>
  <si>
    <t>Sales</t>
  </si>
  <si>
    <t>Consumer</t>
  </si>
  <si>
    <t>Basic</t>
  </si>
  <si>
    <t>Plus</t>
  </si>
  <si>
    <t>Premium</t>
  </si>
  <si>
    <t>Business</t>
  </si>
  <si>
    <t>Team</t>
  </si>
  <si>
    <t>Enterprise</t>
  </si>
  <si>
    <t>Public Sector</t>
  </si>
  <si>
    <t>Education</t>
  </si>
  <si>
    <t>Government</t>
  </si>
  <si>
    <t>Score</t>
  </si>
  <si>
    <t>Small Team</t>
  </si>
  <si>
    <t>Mid Team</t>
  </si>
  <si>
    <t>Large Team</t>
  </si>
  <si>
    <t>Ad Spend</t>
  </si>
  <si>
    <t>Deal Size</t>
  </si>
  <si>
    <t>Capability</t>
  </si>
  <si>
    <t>Ease of Use</t>
  </si>
  <si>
    <t>Price</t>
  </si>
  <si>
    <t>Features</t>
  </si>
  <si>
    <t>Scalability</t>
  </si>
  <si>
    <t>Best for showing how measures change over time.</t>
  </si>
  <si>
    <t>Trend charts help audiences understand direction, momentum, seasonality, and cumulative movement. Line charts emphasize rate of change, while area charts emphasize total magnitude over time.</t>
  </si>
  <si>
    <t>Best for comparing values across categories.</t>
  </si>
  <si>
    <t>Comparison charts make ranking and differences easy to see. Clustered columns work well for compact category sets; horizontal bars are useful when category labels are longer or when ranking matters.</t>
  </si>
  <si>
    <t>Best for part-to-whole, mix, hierarchy, and bridge explanations.</t>
  </si>
  <si>
    <t>Composition charts explain what makes up a total. This page includes a pie, doughnut, stacked column, waterfall, and treemap so presenters can compare classic and modern approaches.</t>
  </si>
  <si>
    <t>Best for understanding distribution, spread, and outliers.</t>
  </si>
  <si>
    <t>Statistical charts summarize many observations. A histogram shows frequency by score range, while a box &amp; whisker chart compares median, quartiles, and outliers across groups.</t>
  </si>
  <si>
    <t>Best for correlation, multi-metric comparisons, and profiles.</t>
  </si>
  <si>
    <t>Relationship charts show how measures move together. Scatter charts show correlation, bubble charts add a third measure through marker size, and radar charts compare profiles across several dimensions.</t>
  </si>
  <si>
    <t>LINE CHART</t>
  </si>
  <si>
    <t>AREA CHART</t>
  </si>
  <si>
    <t>CLUSTERED COLUMN</t>
  </si>
  <si>
    <t>BAR CHART</t>
  </si>
  <si>
    <t>PIE CHART</t>
  </si>
  <si>
    <t>DOUGHNUT CHART</t>
  </si>
  <si>
    <t>STACKED COLUMN</t>
  </si>
  <si>
    <t>WATERFALL</t>
  </si>
  <si>
    <t>TREEMAP</t>
  </si>
  <si>
    <t>HISTOGRAM</t>
  </si>
  <si>
    <t>BOX &amp; WHISKER</t>
  </si>
  <si>
    <t>SCATTER</t>
  </si>
  <si>
    <t>BUBBLE</t>
  </si>
  <si>
    <t>RADAR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</si>
</sst>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"/>
  </numFmts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rgb="FFFFFFFF"/>
      <name val="Aptos Narrow"/>
      <family val="2"/>
      <charset val="238"/>
      <scheme val="minor"/>
    </font>
    <font>
      <b/>
      <sz val="18"/>
      <color rgb="FFFFFFFF"/>
      <name val="Aptos Narrow"/>
      <family val="2"/>
      <charset val="238"/>
      <scheme val="minor"/>
    </font>
    <font>
      <i/>
      <sz val="10"/>
      <color rgb="FF666666"/>
      <name val="Aptos Narrow"/>
      <family val="2"/>
      <charset val="238"/>
      <scheme val="minor"/>
    </font>
    <font>
      <sz val="11"/>
      <color rgb="FF333333"/>
      <name val="Aptos Narrow"/>
      <family val="2"/>
      <charset val="238"/>
      <scheme val="minor"/>
    </font>
    <font>
      <b/>
      <sz val="11"/>
      <color rgb="FF1F4E79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B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EDEDED"/>
      </right>
      <top/>
      <bottom style="thin">
        <color rgb="FFD9D9D9"/>
      </bottom>
      <diagonal/>
    </border>
    <border>
      <left style="thin">
        <color rgb="FFEDEDED"/>
      </left>
      <right/>
      <top/>
      <bottom style="thin">
        <color rgb="FFD9D9D9"/>
      </bottom>
      <diagonal/>
    </border>
    <border>
      <left/>
      <right style="thin">
        <color rgb="FFEDEDED"/>
      </right>
      <top style="thin">
        <color rgb="FFD9D9D9"/>
      </top>
      <bottom style="thin">
        <color rgb="FFD9D9D9"/>
      </bottom>
      <diagonal/>
    </border>
    <border>
      <left style="thin">
        <color rgb="FFEDEDED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EDEDED"/>
      </right>
      <top style="thin">
        <color rgb="FFD9D9D9"/>
      </top>
      <bottom style="thin">
        <color rgb="FFBFBFBF"/>
      </bottom>
      <diagonal/>
    </border>
    <border>
      <left style="thin">
        <color rgb="FFEDEDED"/>
      </left>
      <right/>
      <top style="thin">
        <color rgb="FFD9D9D9"/>
      </top>
      <bottom style="thin">
        <color rgb="FFBFBFBF"/>
      </bottom>
      <diagonal/>
    </border>
    <border>
      <left style="thin">
        <color rgb="FFEDEDED"/>
      </left>
      <right style="thin">
        <color rgb="FFEDEDED"/>
      </right>
      <top/>
      <bottom style="thin">
        <color rgb="FFD9D9D9"/>
      </bottom>
      <diagonal/>
    </border>
    <border>
      <left style="thin">
        <color rgb="FFEDEDED"/>
      </left>
      <right style="thin">
        <color rgb="FFEDEDED"/>
      </right>
      <top style="thin">
        <color rgb="FFD9D9D9"/>
      </top>
      <bottom style="thin">
        <color rgb="FFD9D9D9"/>
      </bottom>
      <diagonal/>
    </border>
    <border>
      <left style="thin">
        <color rgb="FFEDEDED"/>
      </left>
      <right style="thin">
        <color rgb="FFEDEDED"/>
      </right>
      <top style="thin">
        <color rgb="FFD9D9D9"/>
      </top>
      <bottom style="thin">
        <color rgb="FFBFBFBF"/>
      </bottom>
      <diagonal/>
    </border>
    <border>
      <left/>
      <right/>
      <top style="thin">
        <color rgb="FFD9D9D9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/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0" borderId="5" xfId="0" applyFont="1" applyBorder="1"/>
    <xf numFmtId="0" fontId="0" fillId="0" borderId="6" xfId="0" applyBorder="1"/>
    <xf numFmtId="0" fontId="5" fillId="0" borderId="7" xfId="0" applyFont="1" applyBorder="1"/>
    <xf numFmtId="0" fontId="0" fillId="0" borderId="8" xfId="0" applyBorder="1"/>
    <xf numFmtId="0" fontId="1" fillId="2" borderId="9" xfId="0" applyFont="1" applyFill="1" applyBorder="1" applyAlignment="1">
      <alignment horizontal="center"/>
    </xf>
    <xf numFmtId="0" fontId="0" fillId="0" borderId="5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3" fontId="0" fillId="0" borderId="6" xfId="0" applyNumberFormat="1" applyBorder="1"/>
    <xf numFmtId="3" fontId="0" fillId="0" borderId="8" xfId="0" applyNumberFormat="1" applyBorder="1"/>
    <xf numFmtId="9" fontId="0" fillId="0" borderId="6" xfId="0" applyNumberFormat="1" applyBorder="1"/>
    <xf numFmtId="9" fontId="0" fillId="0" borderId="8" xfId="0" applyNumberFormat="1" applyBorder="1"/>
    <xf numFmtId="0" fontId="0" fillId="0" borderId="12" xfId="0" applyBorder="1"/>
    <xf numFmtId="0" fontId="0" fillId="4" borderId="0" xfId="0" applyFill="1" applyAlignment="1">
      <alignment vertical="top" wrapText="1"/>
    </xf>
    <xf numFmtId="165" fontId="0" fillId="0" borderId="10" xfId="0" applyNumberFormat="1" applyBorder="1"/>
    <xf numFmtId="165" fontId="0" fillId="0" borderId="11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165" fontId="0" fillId="0" borderId="5" xfId="0" applyNumberFormat="1" applyBorder="1"/>
    <xf numFmtId="165" fontId="0" fillId="0" borderId="7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'Sample Data'!$B$4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'Sample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'Sample Data'!$B$5:$B$16</c:f>
              <c:numCache>
                <c:formatCode>[$$-409]#\ ##0</c:formatCode>
                <c:ptCount val="12"/>
                <c:pt idx="0">
                  <c:v>120000</c:v>
                </c:pt>
                <c:pt idx="1">
                  <c:v>135000</c:v>
                </c:pt>
                <c:pt idx="2">
                  <c:v>148000</c:v>
                </c:pt>
                <c:pt idx="3">
                  <c:v>142000</c:v>
                </c:pt>
                <c:pt idx="4">
                  <c:v>160000</c:v>
                </c:pt>
                <c:pt idx="5">
                  <c:v>178000</c:v>
                </c:pt>
                <c:pt idx="6">
                  <c:v>185000</c:v>
                </c:pt>
                <c:pt idx="7">
                  <c:v>190000</c:v>
                </c:pt>
                <c:pt idx="8">
                  <c:v>205000</c:v>
                </c:pt>
                <c:pt idx="9">
                  <c:v>215000</c:v>
                </c:pt>
                <c:pt idx="10">
                  <c:v>230000</c:v>
                </c:pt>
                <c:pt idx="11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8-409B-A1AD-EA992E411C82}"/>
            </c:ext>
          </c:extLst>
        </c:ser>
        <c:ser>
          <c:idx val="1"/>
          <c:order val="1"/>
          <c:tx>
            <c:strRef>
              <c:f>'Sample Data'!$C$4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'Sample Data'!$A$5:$A$16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'Sample Data'!$C$5:$C$16</c:f>
              <c:numCache>
                <c:formatCode>[$$-409]#\ ##0</c:formatCode>
                <c:ptCount val="12"/>
                <c:pt idx="0">
                  <c:v>22000</c:v>
                </c:pt>
                <c:pt idx="1">
                  <c:v>25000</c:v>
                </c:pt>
                <c:pt idx="2">
                  <c:v>28000</c:v>
                </c:pt>
                <c:pt idx="3">
                  <c:v>27000</c:v>
                </c:pt>
                <c:pt idx="4">
                  <c:v>33000</c:v>
                </c:pt>
                <c:pt idx="5">
                  <c:v>37000</c:v>
                </c:pt>
                <c:pt idx="6">
                  <c:v>41000</c:v>
                </c:pt>
                <c:pt idx="7">
                  <c:v>43000</c:v>
                </c:pt>
                <c:pt idx="8">
                  <c:v>47000</c:v>
                </c:pt>
                <c:pt idx="9">
                  <c:v>51000</c:v>
                </c:pt>
                <c:pt idx="10">
                  <c:v>56000</c:v>
                </c:pt>
                <c:pt idx="11">
                  <c:v>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8-409B-A1AD-EA992E411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109967"/>
        <c:axId val="1248499855"/>
      </c:lineChart>
      <c:catAx>
        <c:axId val="124510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8499855"/>
        <c:crosses val="autoZero"/>
        <c:auto val="1"/>
        <c:lblAlgn val="ctr"/>
        <c:lblOffset val="100"/>
        <c:noMultiLvlLbl val="0"/>
      </c:catAx>
      <c:valAx>
        <c:axId val="124849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510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'Sample Data'!$G$4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'Sample Data'!$F$5:$F$16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'Sample Data'!$G$5:$G$16</c:f>
              <c:numCache>
                <c:formatCode>#,##0</c:formatCode>
                <c:ptCount val="12"/>
                <c:pt idx="0">
                  <c:v>530</c:v>
                </c:pt>
                <c:pt idx="1">
                  <c:v>560</c:v>
                </c:pt>
                <c:pt idx="2">
                  <c:v>590</c:v>
                </c:pt>
                <c:pt idx="3">
                  <c:v>610</c:v>
                </c:pt>
                <c:pt idx="4">
                  <c:v>650</c:v>
                </c:pt>
                <c:pt idx="5">
                  <c:v>700</c:v>
                </c:pt>
                <c:pt idx="6">
                  <c:v>740</c:v>
                </c:pt>
                <c:pt idx="7">
                  <c:v>780</c:v>
                </c:pt>
                <c:pt idx="8">
                  <c:v>820</c:v>
                </c:pt>
                <c:pt idx="9">
                  <c:v>850</c:v>
                </c:pt>
                <c:pt idx="10">
                  <c:v>900</c:v>
                </c:pt>
                <c:pt idx="11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6-49BC-A779-3C23E09DA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044543"/>
        <c:axId val="1248502255"/>
      </c:areaChart>
      <c:catAx>
        <c:axId val="1245044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8502255"/>
        <c:crosses val="autoZero"/>
        <c:auto val="1"/>
        <c:lblAlgn val="ctr"/>
        <c:lblOffset val="100"/>
        <c:noMultiLvlLbl val="0"/>
      </c:catAx>
      <c:valAx>
        <c:axId val="124850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504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 Data'!$B$21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 Data'!$A$22:$A$26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'Sample Data'!$B$22:$B$26</c:f>
              <c:numCache>
                <c:formatCode>[$$-409]#\ ##0</c:formatCode>
                <c:ptCount val="5"/>
                <c:pt idx="0">
                  <c:v>42000</c:v>
                </c:pt>
                <c:pt idx="1">
                  <c:v>38000</c:v>
                </c:pt>
                <c:pt idx="2">
                  <c:v>52000</c:v>
                </c:pt>
                <c:pt idx="3">
                  <c:v>46000</c:v>
                </c:pt>
                <c:pt idx="4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B-462E-B8D8-B07483BEF9B1}"/>
            </c:ext>
          </c:extLst>
        </c:ser>
        <c:ser>
          <c:idx val="1"/>
          <c:order val="1"/>
          <c:tx>
            <c:strRef>
              <c:f>'Sample Data'!$C$21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'Sample Data'!$A$22:$A$26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'Sample Data'!$C$22:$C$26</c:f>
              <c:numCache>
                <c:formatCode>[$$-409]#\ ##0</c:formatCode>
                <c:ptCount val="5"/>
                <c:pt idx="0">
                  <c:v>36000</c:v>
                </c:pt>
                <c:pt idx="1">
                  <c:v>44000</c:v>
                </c:pt>
                <c:pt idx="2">
                  <c:v>48000</c:v>
                </c:pt>
                <c:pt idx="3">
                  <c:v>39000</c:v>
                </c:pt>
                <c:pt idx="4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B-462E-B8D8-B07483BEF9B1}"/>
            </c:ext>
          </c:extLst>
        </c:ser>
        <c:ser>
          <c:idx val="2"/>
          <c:order val="2"/>
          <c:tx>
            <c:strRef>
              <c:f>'Sample Data'!$D$21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'Sample Data'!$A$22:$A$26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'Sample Data'!$D$22:$D$26</c:f>
              <c:numCache>
                <c:formatCode>[$$-409]#\ ##0</c:formatCode>
                <c:ptCount val="5"/>
                <c:pt idx="0">
                  <c:v>28000</c:v>
                </c:pt>
                <c:pt idx="1">
                  <c:v>31000</c:v>
                </c:pt>
                <c:pt idx="2">
                  <c:v>35000</c:v>
                </c:pt>
                <c:pt idx="3">
                  <c:v>42000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AB-462E-B8D8-B07483BEF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119791"/>
        <c:axId val="1248501295"/>
      </c:barChart>
      <c:catAx>
        <c:axId val="14221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8501295"/>
        <c:crosses val="autoZero"/>
        <c:auto val="1"/>
        <c:lblAlgn val="ctr"/>
        <c:lblOffset val="100"/>
        <c:noMultiLvlLbl val="0"/>
      </c:catAx>
      <c:valAx>
        <c:axId val="12485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221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'Sample Data'!$H$21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'Sample Data'!$G$22:$G$26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'Sample Data'!$H$22:$H$26</c:f>
              <c:numCache>
                <c:formatCode>[$$-409]#\ ##0</c:formatCode>
                <c:ptCount val="5"/>
                <c:pt idx="0">
                  <c:v>106000</c:v>
                </c:pt>
                <c:pt idx="1">
                  <c:v>113000</c:v>
                </c:pt>
                <c:pt idx="2">
                  <c:v>135000</c:v>
                </c:pt>
                <c:pt idx="3">
                  <c:v>127000</c:v>
                </c:pt>
                <c:pt idx="4">
                  <c:v>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E-419E-883F-538AB2C83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397183"/>
        <c:axId val="1248508975"/>
      </c:barChart>
      <c:catAx>
        <c:axId val="1418397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8508975"/>
        <c:crosses val="autoZero"/>
        <c:auto val="1"/>
        <c:lblAlgn val="ctr"/>
        <c:lblOffset val="100"/>
        <c:noMultiLvlLbl val="0"/>
      </c:catAx>
      <c:valAx>
        <c:axId val="124850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839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'Sample Data'!$K$4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'Sample Data'!$J$5:$J$9</c:f>
              <c:strCache>
                <c:ptCount val="5"/>
                <c:pt idx="0">
                  <c:v>Software</c:v>
                </c:pt>
                <c:pt idx="1">
                  <c:v>Services</c:v>
                </c:pt>
                <c:pt idx="2">
                  <c:v>Hardware</c:v>
                </c:pt>
                <c:pt idx="3">
                  <c:v>Training</c:v>
                </c:pt>
                <c:pt idx="4">
                  <c:v>Support</c:v>
                </c:pt>
              </c:strCache>
            </c:strRef>
          </c:cat>
          <c:val>
            <c:numRef>
              <c:f>'Sample Data'!$K$5:$K$9</c:f>
              <c:numCache>
                <c:formatCode>0%</c:formatCode>
                <c:ptCount val="5"/>
                <c:pt idx="0">
                  <c:v>0.38</c:v>
                </c:pt>
                <c:pt idx="1">
                  <c:v>0.26</c:v>
                </c:pt>
                <c:pt idx="2">
                  <c:v>0.18</c:v>
                </c:pt>
                <c:pt idx="3">
                  <c:v>0.1</c:v>
                </c:pt>
                <c:pt idx="4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2-470C-910C-75654B940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Mix as Doughnut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'Sample Data'!$K$4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'Sample Data'!$J$5:$J$9</c:f>
              <c:strCache>
                <c:ptCount val="5"/>
                <c:pt idx="0">
                  <c:v>Software</c:v>
                </c:pt>
                <c:pt idx="1">
                  <c:v>Services</c:v>
                </c:pt>
                <c:pt idx="2">
                  <c:v>Hardware</c:v>
                </c:pt>
                <c:pt idx="3">
                  <c:v>Training</c:v>
                </c:pt>
                <c:pt idx="4">
                  <c:v>Support</c:v>
                </c:pt>
              </c:strCache>
            </c:strRef>
          </c:cat>
          <c:val>
            <c:numRef>
              <c:f>'Sample Data'!$K$5:$K$9</c:f>
              <c:numCache>
                <c:formatCode>0%</c:formatCode>
                <c:ptCount val="5"/>
                <c:pt idx="0">
                  <c:v>0.38</c:v>
                </c:pt>
                <c:pt idx="1">
                  <c:v>0.26</c:v>
                </c:pt>
                <c:pt idx="2">
                  <c:v>0.18</c:v>
                </c:pt>
                <c:pt idx="3">
                  <c:v>0.1</c:v>
                </c:pt>
                <c:pt idx="4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A-4288-8377-8DAB2A34E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Product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'Sample Data'!$B$21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 Data'!$A$22:$A$26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'Sample Data'!$B$22:$B$26</c:f>
              <c:numCache>
                <c:formatCode>[$$-409]#\ ##0</c:formatCode>
                <c:ptCount val="5"/>
                <c:pt idx="0">
                  <c:v>42000</c:v>
                </c:pt>
                <c:pt idx="1">
                  <c:v>38000</c:v>
                </c:pt>
                <c:pt idx="2">
                  <c:v>52000</c:v>
                </c:pt>
                <c:pt idx="3">
                  <c:v>46000</c:v>
                </c:pt>
                <c:pt idx="4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7-4225-8AE2-4FD7CC109590}"/>
            </c:ext>
          </c:extLst>
        </c:ser>
        <c:ser>
          <c:idx val="1"/>
          <c:order val="1"/>
          <c:tx>
            <c:strRef>
              <c:f>'Sample Data'!$C$21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'Sample Data'!$A$22:$A$26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'Sample Data'!$C$22:$C$26</c:f>
              <c:numCache>
                <c:formatCode>[$$-409]#\ ##0</c:formatCode>
                <c:ptCount val="5"/>
                <c:pt idx="0">
                  <c:v>36000</c:v>
                </c:pt>
                <c:pt idx="1">
                  <c:v>44000</c:v>
                </c:pt>
                <c:pt idx="2">
                  <c:v>48000</c:v>
                </c:pt>
                <c:pt idx="3">
                  <c:v>39000</c:v>
                </c:pt>
                <c:pt idx="4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7-4225-8AE2-4FD7CC109590}"/>
            </c:ext>
          </c:extLst>
        </c:ser>
        <c:ser>
          <c:idx val="2"/>
          <c:order val="2"/>
          <c:tx>
            <c:strRef>
              <c:f>'Sample Data'!$D$21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'Sample Data'!$A$22:$A$26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'Sample Data'!$D$22:$D$26</c:f>
              <c:numCache>
                <c:formatCode>[$$-409]#\ ##0</c:formatCode>
                <c:ptCount val="5"/>
                <c:pt idx="0">
                  <c:v>28000</c:v>
                </c:pt>
                <c:pt idx="1">
                  <c:v>31000</c:v>
                </c:pt>
                <c:pt idx="2">
                  <c:v>35000</c:v>
                </c:pt>
                <c:pt idx="3">
                  <c:v>42000</c:v>
                </c:pt>
                <c:pt idx="4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B7-4225-8AE2-4FD7CC109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3521455"/>
        <c:axId val="1248496975"/>
      </c:barChart>
      <c:catAx>
        <c:axId val="141352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8496975"/>
        <c:crosses val="autoZero"/>
        <c:auto val="1"/>
        <c:lblAlgn val="ctr"/>
        <c:lblOffset val="100"/>
        <c:noMultiLvlLbl val="0"/>
      </c:catAx>
      <c:valAx>
        <c:axId val="12484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352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 Spend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Data'!$G$35:$G$44</c:f>
              <c:numCache>
                <c:formatCode>[$$-409]#\ ##0</c:formatCode>
                <c:ptCount val="10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20</c:v>
                </c:pt>
                <c:pt idx="4">
                  <c:v>24</c:v>
                </c:pt>
                <c:pt idx="5">
                  <c:v>27</c:v>
                </c:pt>
                <c:pt idx="6">
                  <c:v>30</c:v>
                </c:pt>
                <c:pt idx="7">
                  <c:v>34</c:v>
                </c:pt>
                <c:pt idx="8">
                  <c:v>38</c:v>
                </c:pt>
                <c:pt idx="9">
                  <c:v>42</c:v>
                </c:pt>
              </c:numCache>
            </c:numRef>
          </c:xVal>
          <c:yVal>
            <c:numRef>
              <c:f>'Sample Data'!$H$35:$H$44</c:f>
              <c:numCache>
                <c:formatCode>[$$-409]#\ ##0</c:formatCode>
                <c:ptCount val="10"/>
                <c:pt idx="0">
                  <c:v>95</c:v>
                </c:pt>
                <c:pt idx="1">
                  <c:v>110</c:v>
                </c:pt>
                <c:pt idx="2">
                  <c:v>125</c:v>
                </c:pt>
                <c:pt idx="3">
                  <c:v>138</c:v>
                </c:pt>
                <c:pt idx="4">
                  <c:v>150</c:v>
                </c:pt>
                <c:pt idx="5">
                  <c:v>168</c:v>
                </c:pt>
                <c:pt idx="6">
                  <c:v>182</c:v>
                </c:pt>
                <c:pt idx="7">
                  <c:v>205</c:v>
                </c:pt>
                <c:pt idx="8">
                  <c:v>218</c:v>
                </c:pt>
                <c:pt idx="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F0-4D07-BB79-A4607566E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647199"/>
        <c:axId val="1248500815"/>
      </c:scatterChart>
      <c:valAx>
        <c:axId val="141364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8500815"/>
        <c:crosses val="autoZero"/>
        <c:crossBetween val="midCat"/>
      </c:valAx>
      <c:valAx>
        <c:axId val="124850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364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 Spend, Revenue, and Deal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ubbleChart>
        <c:varyColors val="0"/>
        <c:ser>
          <c:idx val="0"/>
          <c:order val="0"/>
          <c:tx>
            <c:v>Deal Size</c:v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'Sample Data'!$G$35:$G$44</c:f>
              <c:numCache>
                <c:formatCode>[$$-409]#\ ##0</c:formatCode>
                <c:ptCount val="10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20</c:v>
                </c:pt>
                <c:pt idx="4">
                  <c:v>24</c:v>
                </c:pt>
                <c:pt idx="5">
                  <c:v>27</c:v>
                </c:pt>
                <c:pt idx="6">
                  <c:v>30</c:v>
                </c:pt>
                <c:pt idx="7">
                  <c:v>34</c:v>
                </c:pt>
                <c:pt idx="8">
                  <c:v>38</c:v>
                </c:pt>
                <c:pt idx="9">
                  <c:v>42</c:v>
                </c:pt>
              </c:numCache>
            </c:numRef>
          </c:xVal>
          <c:yVal>
            <c:numRef>
              <c:f>'Sample Data'!$H$35:$H$44</c:f>
              <c:numCache>
                <c:formatCode>[$$-409]#\ ##0</c:formatCode>
                <c:ptCount val="10"/>
                <c:pt idx="0">
                  <c:v>95</c:v>
                </c:pt>
                <c:pt idx="1">
                  <c:v>110</c:v>
                </c:pt>
                <c:pt idx="2">
                  <c:v>125</c:v>
                </c:pt>
                <c:pt idx="3">
                  <c:v>138</c:v>
                </c:pt>
                <c:pt idx="4">
                  <c:v>150</c:v>
                </c:pt>
                <c:pt idx="5">
                  <c:v>168</c:v>
                </c:pt>
                <c:pt idx="6">
                  <c:v>182</c:v>
                </c:pt>
                <c:pt idx="7">
                  <c:v>205</c:v>
                </c:pt>
                <c:pt idx="8">
                  <c:v>218</c:v>
                </c:pt>
                <c:pt idx="9">
                  <c:v>240</c:v>
                </c:pt>
              </c:numCache>
            </c:numRef>
          </c:yVal>
          <c:bubbleSize>
            <c:numRef>
              <c:f>'Sample Data'!$I$35:$I$44</c:f>
              <c:numCache>
                <c:formatCode>General</c:formatCode>
                <c:ptCount val="10"/>
                <c:pt idx="0">
                  <c:v>18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  <c:pt idx="4">
                  <c:v>32</c:v>
                </c:pt>
                <c:pt idx="5">
                  <c:v>36</c:v>
                </c:pt>
                <c:pt idx="6">
                  <c:v>40</c:v>
                </c:pt>
                <c:pt idx="7">
                  <c:v>45</c:v>
                </c:pt>
                <c:pt idx="8">
                  <c:v>48</c:v>
                </c:pt>
                <c:pt idx="9">
                  <c:v>55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443-4FE6-B8E2-80A91ABED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29802879"/>
        <c:axId val="1248506095"/>
      </c:bubbleChart>
      <c:valAx>
        <c:axId val="132980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8506095"/>
        <c:crosses val="autoZero"/>
        <c:crossBetween val="midCat"/>
      </c:valAx>
      <c:valAx>
        <c:axId val="12485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2980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Capability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'Sample Data'!$H$48</c:f>
              <c:strCache>
                <c:ptCount val="1"/>
                <c:pt idx="0">
                  <c:v>Product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'Sample Data'!$G$49:$G$53</c:f>
              <c:strCache>
                <c:ptCount val="5"/>
                <c:pt idx="0">
                  <c:v>Ease of Use</c:v>
                </c:pt>
                <c:pt idx="1">
                  <c:v>Price</c:v>
                </c:pt>
                <c:pt idx="2">
                  <c:v>Features</c:v>
                </c:pt>
                <c:pt idx="3">
                  <c:v>Support</c:v>
                </c:pt>
                <c:pt idx="4">
                  <c:v>Scalability</c:v>
                </c:pt>
              </c:strCache>
            </c:strRef>
          </c:cat>
          <c:val>
            <c:numRef>
              <c:f>'Sample Data'!$H$49:$H$53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9-43B4-A69E-5091A5C3008E}"/>
            </c:ext>
          </c:extLst>
        </c:ser>
        <c:ser>
          <c:idx val="1"/>
          <c:order val="1"/>
          <c:tx>
            <c:strRef>
              <c:f>'Sample Data'!$I$48</c:f>
              <c:strCache>
                <c:ptCount val="1"/>
                <c:pt idx="0">
                  <c:v>Product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'Sample Data'!$G$49:$G$53</c:f>
              <c:strCache>
                <c:ptCount val="5"/>
                <c:pt idx="0">
                  <c:v>Ease of Use</c:v>
                </c:pt>
                <c:pt idx="1">
                  <c:v>Price</c:v>
                </c:pt>
                <c:pt idx="2">
                  <c:v>Features</c:v>
                </c:pt>
                <c:pt idx="3">
                  <c:v>Support</c:v>
                </c:pt>
                <c:pt idx="4">
                  <c:v>Scalability</c:v>
                </c:pt>
              </c:strCache>
            </c:strRef>
          </c:cat>
          <c:val>
            <c:numRef>
              <c:f>'Sample Data'!$I$49:$I$53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9-43B4-A69E-5091A5C3008E}"/>
            </c:ext>
          </c:extLst>
        </c:ser>
        <c:ser>
          <c:idx val="2"/>
          <c:order val="2"/>
          <c:tx>
            <c:strRef>
              <c:f>'Sample Data'!$J$48</c:f>
              <c:strCache>
                <c:ptCount val="1"/>
                <c:pt idx="0">
                  <c:v>Product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'Sample Data'!$G$49:$G$53</c:f>
              <c:strCache>
                <c:ptCount val="5"/>
                <c:pt idx="0">
                  <c:v>Ease of Use</c:v>
                </c:pt>
                <c:pt idx="1">
                  <c:v>Price</c:v>
                </c:pt>
                <c:pt idx="2">
                  <c:v>Features</c:v>
                </c:pt>
                <c:pt idx="3">
                  <c:v>Support</c:v>
                </c:pt>
                <c:pt idx="4">
                  <c:v>Scalability</c:v>
                </c:pt>
              </c:strCache>
            </c:strRef>
          </c:cat>
          <c:val>
            <c:numRef>
              <c:f>'Sample Data'!$J$49:$J$53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9-43B4-A69E-5091A5C30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590511"/>
        <c:axId val="1248508495"/>
      </c:radarChart>
      <c:catAx>
        <c:axId val="170259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48508495"/>
        <c:crosses val="autoZero"/>
        <c:auto val="1"/>
        <c:lblAlgn val="ctr"/>
        <c:lblOffset val="100"/>
        <c:noMultiLvlLbl val="0"/>
      </c:catAx>
      <c:valAx>
        <c:axId val="12485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0259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Revenue Bridge</cx:v>
        </cx:txData>
      </cx:tx>
    </cx:title>
    <cx:plotArea>
      <cx:plotAreaRegion>
        <cx:series layoutId="waterfall" uniqueId="{00000001-CA87-47F8-8C4F-075B054F0834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Sales by Division and Product</cx:v>
        </cx:txData>
      </cx:tx>
    </cx:title>
    <cx:plotArea>
      <cx:plotAreaRegion>
        <cx:series layoutId="treemap" uniqueId="{00000001-C2D0-48EF-A984-D77EA27EC816}">
          <cx:tx>
            <cx:txData>
              <cx:f>_xlchart.v1.4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Score Distribution</cx:v>
        </cx:txData>
      </cx:tx>
    </cx:title>
    <cx:plotArea>
      <cx:plotAreaRegion>
        <cx:series layoutId="clusteredColumn" uniqueId="{00000001-3B7A-4C0F-8C6B-64111897E7E1}">
          <cx:tx>
            <cx:txData>
              <cx:f>_xlchart.v1.6</cx:f>
              <cx:v>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</cx:chartData>
  <cx:chart>
    <cx:title pos="t" align="ctr" overlay="0">
      <cx:tx>
        <cx:txData>
          <cx:v>Team Score Spread</cx:v>
        </cx:txData>
      </cx:tx>
    </cx:title>
    <cx:plotArea>
      <cx:plotAreaRegion>
        <cx:series layoutId="boxWhisker" uniqueId="{00000003-C31A-4BFC-9C05-8800B04DB0C6}">
          <cx:tx>
            <cx:txData>
              <cx:f>_xlchart.v1.8</cx:f>
              <cx:v>Small Team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4-C31A-4BFC-9C05-8800B04DB0C6}">
          <cx:tx>
            <cx:txData>
              <cx:f>_xlchart.v1.10</cx:f>
              <cx:v>Mid Team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5-C31A-4BFC-9C05-8800B04DB0C6}">
          <cx:tx>
            <cx:txData>
              <cx:f>_xlchart.v1.12</cx:f>
              <cx:v>Large Team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2" name="Monthly Revenue and Profit Line Chart">
          <a:extLst>
            <a:ext uri="{FF2B5EF4-FFF2-40B4-BE49-F238E27FC236}">
              <a16:creationId xmlns:a16="http://schemas.microsoft.com/office/drawing/2014/main" id="{BD331183-0C3A-1799-EF05-8A17D4170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3" name="Customer Growth Area Chart">
          <a:extLst>
            <a:ext uri="{FF2B5EF4-FFF2-40B4-BE49-F238E27FC236}">
              <a16:creationId xmlns:a16="http://schemas.microsoft.com/office/drawing/2014/main" id="{EC86E35D-05DA-209F-FDBC-5C8586008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2" name="Regional Product Sales Column Chart">
          <a:extLst>
            <a:ext uri="{FF2B5EF4-FFF2-40B4-BE49-F238E27FC236}">
              <a16:creationId xmlns:a16="http://schemas.microsoft.com/office/drawing/2014/main" id="{1137498D-0341-D8CD-843C-205B09A5F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3" name="Total Sales by Region Bar Chart">
          <a:extLst>
            <a:ext uri="{FF2B5EF4-FFF2-40B4-BE49-F238E27FC236}">
              <a16:creationId xmlns:a16="http://schemas.microsoft.com/office/drawing/2014/main" id="{8BFBB767-2CF7-042F-73D8-975A31805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2" name="Revenue Mix Pie Chart">
          <a:extLst>
            <a:ext uri="{FF2B5EF4-FFF2-40B4-BE49-F238E27FC236}">
              <a16:creationId xmlns:a16="http://schemas.microsoft.com/office/drawing/2014/main" id="{C297CC88-6CBF-D855-3744-43672AFDE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3" name="Revenue Mix Doughnut Chart">
          <a:extLst>
            <a:ext uri="{FF2B5EF4-FFF2-40B4-BE49-F238E27FC236}">
              <a16:creationId xmlns:a16="http://schemas.microsoft.com/office/drawing/2014/main" id="{29E55976-7FD5-7059-FA7D-58AE03331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5</xdr:col>
      <xdr:colOff>0</xdr:colOff>
      <xdr:row>43</xdr:row>
      <xdr:rowOff>0</xdr:rowOff>
    </xdr:to>
    <xdr:graphicFrame macro="">
      <xdr:nvGraphicFramePr>
        <xdr:cNvPr id="4" name="Stacked Regional Product Mix Chart">
          <a:extLst>
            <a:ext uri="{FF2B5EF4-FFF2-40B4-BE49-F238E27FC236}">
              <a16:creationId xmlns:a16="http://schemas.microsoft.com/office/drawing/2014/main" id="{F3E94EE0-B759-1936-4E06-69AF2EDDB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11</xdr:col>
      <xdr:colOff>0</xdr:colOff>
      <xdr:row>43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Revenue Bridge Waterfall Chart">
              <a:extLst>
                <a:ext uri="{FF2B5EF4-FFF2-40B4-BE49-F238E27FC236}">
                  <a16:creationId xmlns:a16="http://schemas.microsoft.com/office/drawing/2014/main" id="{A4956EF4-B551-22E3-174C-252E01B119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0" y="4929188"/>
              <a:ext cx="3238500" cy="3076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45</xdr:row>
      <xdr:rowOff>0</xdr:rowOff>
    </xdr:from>
    <xdr:to>
      <xdr:col>11</xdr:col>
      <xdr:colOff>0</xdr:colOff>
      <xdr:row>64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Sales Hierarchy Treemap">
              <a:extLst>
                <a:ext uri="{FF2B5EF4-FFF2-40B4-BE49-F238E27FC236}">
                  <a16:creationId xmlns:a16="http://schemas.microsoft.com/office/drawing/2014/main" id="{E51C3462-0AB9-BAB9-35D2-E0A41A961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367713"/>
              <a:ext cx="7124700" cy="3438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Score Distribution Histogram">
              <a:extLst>
                <a:ext uri="{FF2B5EF4-FFF2-40B4-BE49-F238E27FC236}">
                  <a16:creationId xmlns:a16="http://schemas.microsoft.com/office/drawing/2014/main" id="{46784ABC-3547-457E-F4F9-1F802E7518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90663"/>
              <a:ext cx="3238500" cy="3257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7</xdr:row>
      <xdr:rowOff>0</xdr:rowOff>
    </xdr:from>
    <xdr:to>
      <xdr:col>11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Team Score Box and Whisker Chart">
              <a:extLst>
                <a:ext uri="{FF2B5EF4-FFF2-40B4-BE49-F238E27FC236}">
                  <a16:creationId xmlns:a16="http://schemas.microsoft.com/office/drawing/2014/main" id="{3A2810B1-BC96-07AB-CFC8-D83FE2161D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0" y="1490663"/>
              <a:ext cx="3238500" cy="3257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2" name="Ad Spend Revenue Scatter Chart">
          <a:extLst>
            <a:ext uri="{FF2B5EF4-FFF2-40B4-BE49-F238E27FC236}">
              <a16:creationId xmlns:a16="http://schemas.microsoft.com/office/drawing/2014/main" id="{B07E492F-4E46-24A5-0901-4CE0CF0F7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3" name="Ad Spend Revenue Deal Size Bubble Chart">
          <a:extLst>
            <a:ext uri="{FF2B5EF4-FFF2-40B4-BE49-F238E27FC236}">
              <a16:creationId xmlns:a16="http://schemas.microsoft.com/office/drawing/2014/main" id="{09297156-F0BE-5493-0FD0-C8F5C6620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11</xdr:col>
      <xdr:colOff>0</xdr:colOff>
      <xdr:row>46</xdr:row>
      <xdr:rowOff>0</xdr:rowOff>
    </xdr:to>
    <xdr:graphicFrame macro="">
      <xdr:nvGraphicFramePr>
        <xdr:cNvPr id="4" name="Product Capability Radar Chart">
          <a:extLst>
            <a:ext uri="{FF2B5EF4-FFF2-40B4-BE49-F238E27FC236}">
              <a16:creationId xmlns:a16="http://schemas.microsoft.com/office/drawing/2014/main" id="{1488840D-929A-4940-0A94-F8AEDB222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0923-C2C2-4CC5-A9D2-C2C81982FE89}">
  <dimension ref="A1:H16"/>
  <sheetViews>
    <sheetView tabSelected="1" workbookViewId="0">
      <selection sqref="A1:H1"/>
    </sheetView>
  </sheetViews>
  <sheetFormatPr defaultRowHeight="14.25" x14ac:dyDescent="0.45"/>
  <sheetData>
    <row r="1" spans="1:8" ht="32" customHeight="1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4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4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45">
      <c r="A5" s="23" t="s">
        <v>3</v>
      </c>
      <c r="B5" s="23"/>
      <c r="C5" s="23"/>
      <c r="D5" s="23"/>
      <c r="E5" s="23"/>
      <c r="F5" s="23"/>
      <c r="G5" s="23"/>
      <c r="H5" s="23"/>
    </row>
    <row r="6" spans="1:8" x14ac:dyDescent="0.45">
      <c r="A6" s="23"/>
      <c r="B6" s="23"/>
      <c r="C6" s="23"/>
      <c r="D6" s="23"/>
      <c r="E6" s="23"/>
      <c r="F6" s="23"/>
      <c r="G6" s="23"/>
      <c r="H6" s="23"/>
    </row>
    <row r="7" spans="1:8" x14ac:dyDescent="0.45">
      <c r="A7" s="23"/>
      <c r="B7" s="23"/>
      <c r="C7" s="23"/>
      <c r="D7" s="23"/>
      <c r="E7" s="23"/>
      <c r="F7" s="23"/>
      <c r="G7" s="23"/>
      <c r="H7" s="23"/>
    </row>
    <row r="8" spans="1:8" x14ac:dyDescent="0.45">
      <c r="A8" s="23"/>
      <c r="B8" s="23"/>
      <c r="C8" s="23"/>
      <c r="D8" s="23"/>
      <c r="E8" s="23"/>
      <c r="F8" s="23"/>
      <c r="G8" s="23"/>
      <c r="H8" s="23"/>
    </row>
    <row r="10" spans="1:8" x14ac:dyDescent="0.45">
      <c r="A10" s="7" t="s">
        <v>4</v>
      </c>
      <c r="B10" s="8" t="s">
        <v>5</v>
      </c>
    </row>
    <row r="11" spans="1:8" x14ac:dyDescent="0.45">
      <c r="A11" s="9" t="s">
        <v>6</v>
      </c>
      <c r="B11" s="10" t="s">
        <v>7</v>
      </c>
    </row>
    <row r="12" spans="1:8" x14ac:dyDescent="0.45">
      <c r="A12" s="9" t="s">
        <v>8</v>
      </c>
      <c r="B12" s="10" t="s">
        <v>9</v>
      </c>
    </row>
    <row r="13" spans="1:8" x14ac:dyDescent="0.45">
      <c r="A13" s="9" t="s">
        <v>10</v>
      </c>
      <c r="B13" s="10" t="s">
        <v>11</v>
      </c>
    </row>
    <row r="14" spans="1:8" x14ac:dyDescent="0.45">
      <c r="A14" s="9" t="s">
        <v>12</v>
      </c>
      <c r="B14" s="10" t="s">
        <v>13</v>
      </c>
    </row>
    <row r="15" spans="1:8" x14ac:dyDescent="0.45">
      <c r="A15" s="9" t="s">
        <v>14</v>
      </c>
      <c r="B15" s="10" t="s">
        <v>15</v>
      </c>
    </row>
    <row r="16" spans="1:8" x14ac:dyDescent="0.45">
      <c r="A16" s="11" t="s">
        <v>16</v>
      </c>
      <c r="B16" s="12" t="s">
        <v>17</v>
      </c>
    </row>
  </sheetData>
  <mergeCells count="4">
    <mergeCell ref="A1:H1"/>
    <mergeCell ref="A2:H2"/>
    <mergeCell ref="A4:H4"/>
    <mergeCell ref="A5:H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C8B0-350E-4696-ADAE-C34E9C2C0DDB}">
  <dimension ref="A1:K7"/>
  <sheetViews>
    <sheetView workbookViewId="0">
      <selection sqref="A1:K1"/>
    </sheetView>
  </sheetViews>
  <sheetFormatPr defaultRowHeight="14.25" x14ac:dyDescent="0.45"/>
  <sheetData>
    <row r="1" spans="1:11" ht="32" customHeight="1" x14ac:dyDescent="0.4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45">
      <c r="A4" s="4" t="s">
        <v>85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7" spans="1:11" x14ac:dyDescent="0.45">
      <c r="A7" s="3" t="s">
        <v>94</v>
      </c>
      <c r="B7" s="3"/>
      <c r="C7" s="3"/>
      <c r="D7" s="3"/>
      <c r="E7" s="3"/>
      <c r="G7" s="3" t="s">
        <v>95</v>
      </c>
      <c r="H7" s="3"/>
      <c r="I7" s="3"/>
      <c r="J7" s="3"/>
      <c r="K7" s="3"/>
    </row>
  </sheetData>
  <mergeCells count="5">
    <mergeCell ref="A1:K1"/>
    <mergeCell ref="A2:K2"/>
    <mergeCell ref="A4:K5"/>
    <mergeCell ref="A7:E7"/>
    <mergeCell ref="G7:K7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7186-653E-4117-9567-D15A32B61414}">
  <dimension ref="A1:K7"/>
  <sheetViews>
    <sheetView workbookViewId="0">
      <selection sqref="A1:K1"/>
    </sheetView>
  </sheetViews>
  <sheetFormatPr defaultRowHeight="14.25" x14ac:dyDescent="0.45"/>
  <sheetData>
    <row r="1" spans="1:11" ht="32" customHeight="1" x14ac:dyDescent="0.45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45">
      <c r="A4" s="4" t="s">
        <v>87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7" spans="1:11" x14ac:dyDescent="0.45">
      <c r="A7" s="3" t="s">
        <v>96</v>
      </c>
      <c r="B7" s="3"/>
      <c r="C7" s="3"/>
      <c r="D7" s="3"/>
      <c r="E7" s="3"/>
      <c r="G7" s="3" t="s">
        <v>97</v>
      </c>
      <c r="H7" s="3"/>
      <c r="I7" s="3"/>
      <c r="J7" s="3"/>
      <c r="K7" s="3"/>
    </row>
  </sheetData>
  <mergeCells count="5">
    <mergeCell ref="A1:K1"/>
    <mergeCell ref="A2:K2"/>
    <mergeCell ref="A4:K5"/>
    <mergeCell ref="A7:E7"/>
    <mergeCell ref="G7:K7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FDEE-585A-4018-8AC6-C5CB0AC5C7C5}">
  <dimension ref="A1:K45"/>
  <sheetViews>
    <sheetView workbookViewId="0">
      <selection sqref="A1:K1"/>
    </sheetView>
  </sheetViews>
  <sheetFormatPr defaultRowHeight="14.25" x14ac:dyDescent="0.45"/>
  <sheetData>
    <row r="1" spans="1:11" ht="32" customHeight="1" x14ac:dyDescent="0.4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45">
      <c r="A4" s="4" t="s">
        <v>89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7" spans="1:11" x14ac:dyDescent="0.45">
      <c r="A7" s="3" t="s">
        <v>98</v>
      </c>
      <c r="B7" s="3"/>
      <c r="C7" s="3"/>
      <c r="D7" s="3"/>
      <c r="E7" s="3"/>
      <c r="G7" s="3" t="s">
        <v>99</v>
      </c>
      <c r="H7" s="3"/>
      <c r="I7" s="3"/>
      <c r="J7" s="3"/>
      <c r="K7" s="3"/>
    </row>
    <row r="26" spans="1:11" x14ac:dyDescent="0.45">
      <c r="A26" s="3" t="s">
        <v>100</v>
      </c>
      <c r="B26" s="3"/>
      <c r="C26" s="3"/>
      <c r="D26" s="3"/>
      <c r="E26" s="3"/>
      <c r="G26" s="3" t="s">
        <v>101</v>
      </c>
      <c r="H26" s="3"/>
      <c r="I26" s="3"/>
      <c r="J26" s="3"/>
      <c r="K26" s="3"/>
    </row>
    <row r="45" spans="1:11" x14ac:dyDescent="0.45">
      <c r="A45" s="3" t="s">
        <v>102</v>
      </c>
      <c r="B45" s="3"/>
      <c r="C45" s="3"/>
      <c r="D45" s="3"/>
      <c r="E45" s="3"/>
      <c r="F45" s="3"/>
      <c r="G45" s="3"/>
      <c r="H45" s="3"/>
      <c r="I45" s="3"/>
      <c r="J45" s="3"/>
      <c r="K45" s="3"/>
    </row>
  </sheetData>
  <mergeCells count="8">
    <mergeCell ref="A45:K45"/>
    <mergeCell ref="A1:K1"/>
    <mergeCell ref="A2:K2"/>
    <mergeCell ref="A4:K5"/>
    <mergeCell ref="A7:E7"/>
    <mergeCell ref="G7:K7"/>
    <mergeCell ref="A26:E26"/>
    <mergeCell ref="G26:K26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604C-F481-4501-A6CE-87B8FB450DA9}">
  <dimension ref="A1:K7"/>
  <sheetViews>
    <sheetView workbookViewId="0">
      <selection sqref="A1:K1"/>
    </sheetView>
  </sheetViews>
  <sheetFormatPr defaultRowHeight="14.25" x14ac:dyDescent="0.45"/>
  <sheetData>
    <row r="1" spans="1:11" ht="32" customHeight="1" x14ac:dyDescent="0.4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2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45">
      <c r="A4" s="4" t="s">
        <v>91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7" spans="1:11" x14ac:dyDescent="0.45">
      <c r="A7" s="3" t="s">
        <v>103</v>
      </c>
      <c r="B7" s="3"/>
      <c r="C7" s="3"/>
      <c r="D7" s="3"/>
      <c r="E7" s="3"/>
      <c r="G7" s="3" t="s">
        <v>104</v>
      </c>
      <c r="H7" s="3"/>
      <c r="I7" s="3"/>
      <c r="J7" s="3"/>
      <c r="K7" s="3"/>
    </row>
  </sheetData>
  <mergeCells count="5">
    <mergeCell ref="A1:K1"/>
    <mergeCell ref="A2:K2"/>
    <mergeCell ref="A4:K5"/>
    <mergeCell ref="A7:E7"/>
    <mergeCell ref="G7:K7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9B0F-35E7-4FF9-89BE-C47CE9106148}">
  <dimension ref="A1:K27"/>
  <sheetViews>
    <sheetView workbookViewId="0">
      <selection sqref="A1:K1"/>
    </sheetView>
  </sheetViews>
  <sheetFormatPr defaultRowHeight="14.25" x14ac:dyDescent="0.45"/>
  <sheetData>
    <row r="1" spans="1:11" ht="32" customHeight="1" x14ac:dyDescent="0.4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45">
      <c r="A4" s="4" t="s">
        <v>93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7" spans="1:11" x14ac:dyDescent="0.45">
      <c r="A7" s="3" t="s">
        <v>105</v>
      </c>
      <c r="B7" s="3"/>
      <c r="C7" s="3"/>
      <c r="D7" s="3"/>
      <c r="E7" s="3"/>
      <c r="G7" s="3" t="s">
        <v>106</v>
      </c>
      <c r="H7" s="3"/>
      <c r="I7" s="3"/>
      <c r="J7" s="3"/>
      <c r="K7" s="3"/>
    </row>
    <row r="27" spans="1:11" x14ac:dyDescent="0.45">
      <c r="A27" s="3" t="s">
        <v>107</v>
      </c>
      <c r="B27" s="3"/>
      <c r="C27" s="3"/>
      <c r="D27" s="3"/>
      <c r="E27" s="3"/>
      <c r="F27" s="3"/>
      <c r="G27" s="3"/>
      <c r="H27" s="3"/>
      <c r="I27" s="3"/>
      <c r="J27" s="3"/>
      <c r="K27" s="3"/>
    </row>
  </sheetData>
  <mergeCells count="6">
    <mergeCell ref="A1:K1"/>
    <mergeCell ref="A2:K2"/>
    <mergeCell ref="A4:K5"/>
    <mergeCell ref="A7:E7"/>
    <mergeCell ref="G7:K7"/>
    <mergeCell ref="A27:K27"/>
  </mergeCells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A201-1BDC-4957-877F-46DC42C8C842}">
  <dimension ref="A1:L55"/>
  <sheetViews>
    <sheetView workbookViewId="0">
      <selection sqref="A1:L1"/>
    </sheetView>
  </sheetViews>
  <sheetFormatPr defaultRowHeight="14.25" x14ac:dyDescent="0.45"/>
  <sheetData>
    <row r="1" spans="1:12" ht="32" customHeight="1" x14ac:dyDescent="0.4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45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45">
      <c r="A4" s="7" t="s">
        <v>19</v>
      </c>
      <c r="B4" s="13" t="s">
        <v>20</v>
      </c>
      <c r="C4" s="13" t="s">
        <v>21</v>
      </c>
      <c r="D4" s="8" t="s">
        <v>22</v>
      </c>
      <c r="F4" s="7" t="s">
        <v>19</v>
      </c>
      <c r="G4" s="8" t="s">
        <v>22</v>
      </c>
      <c r="J4" s="7" t="s">
        <v>45</v>
      </c>
      <c r="K4" s="8" t="s">
        <v>46</v>
      </c>
    </row>
    <row r="5" spans="1:12" x14ac:dyDescent="0.45">
      <c r="A5" s="14" t="s">
        <v>23</v>
      </c>
      <c r="B5" s="24">
        <v>120000</v>
      </c>
      <c r="C5" s="24">
        <v>22000</v>
      </c>
      <c r="D5" s="18">
        <v>530</v>
      </c>
      <c r="F5" s="14" t="s">
        <v>23</v>
      </c>
      <c r="G5" s="18">
        <v>530</v>
      </c>
      <c r="J5" s="14" t="s">
        <v>47</v>
      </c>
      <c r="K5" s="20">
        <v>0.38</v>
      </c>
    </row>
    <row r="6" spans="1:12" x14ac:dyDescent="0.45">
      <c r="A6" s="14" t="s">
        <v>24</v>
      </c>
      <c r="B6" s="24">
        <v>135000</v>
      </c>
      <c r="C6" s="24">
        <v>25000</v>
      </c>
      <c r="D6" s="18">
        <v>560</v>
      </c>
      <c r="F6" s="14" t="s">
        <v>24</v>
      </c>
      <c r="G6" s="18">
        <v>560</v>
      </c>
      <c r="J6" s="14" t="s">
        <v>48</v>
      </c>
      <c r="K6" s="20">
        <v>0.26</v>
      </c>
    </row>
    <row r="7" spans="1:12" x14ac:dyDescent="0.45">
      <c r="A7" s="14" t="s">
        <v>25</v>
      </c>
      <c r="B7" s="24">
        <v>148000</v>
      </c>
      <c r="C7" s="24">
        <v>28000</v>
      </c>
      <c r="D7" s="18">
        <v>590</v>
      </c>
      <c r="F7" s="14" t="s">
        <v>25</v>
      </c>
      <c r="G7" s="18">
        <v>590</v>
      </c>
      <c r="J7" s="14" t="s">
        <v>49</v>
      </c>
      <c r="K7" s="20">
        <v>0.18</v>
      </c>
    </row>
    <row r="8" spans="1:12" x14ac:dyDescent="0.45">
      <c r="A8" s="14" t="s">
        <v>26</v>
      </c>
      <c r="B8" s="24">
        <v>142000</v>
      </c>
      <c r="C8" s="24">
        <v>27000</v>
      </c>
      <c r="D8" s="18">
        <v>610</v>
      </c>
      <c r="F8" s="14" t="s">
        <v>26</v>
      </c>
      <c r="G8" s="18">
        <v>610</v>
      </c>
      <c r="J8" s="14" t="s">
        <v>50</v>
      </c>
      <c r="K8" s="20">
        <v>0.1</v>
      </c>
    </row>
    <row r="9" spans="1:12" x14ac:dyDescent="0.45">
      <c r="A9" s="14" t="s">
        <v>27</v>
      </c>
      <c r="B9" s="24">
        <v>160000</v>
      </c>
      <c r="C9" s="24">
        <v>33000</v>
      </c>
      <c r="D9" s="18">
        <v>650</v>
      </c>
      <c r="F9" s="14" t="s">
        <v>27</v>
      </c>
      <c r="G9" s="18">
        <v>650</v>
      </c>
      <c r="J9" s="16" t="s">
        <v>51</v>
      </c>
      <c r="K9" s="21">
        <v>0.08</v>
      </c>
    </row>
    <row r="10" spans="1:12" x14ac:dyDescent="0.45">
      <c r="A10" s="14" t="s">
        <v>28</v>
      </c>
      <c r="B10" s="24">
        <v>178000</v>
      </c>
      <c r="C10" s="24">
        <v>37000</v>
      </c>
      <c r="D10" s="18">
        <v>700</v>
      </c>
      <c r="F10" s="14" t="s">
        <v>28</v>
      </c>
      <c r="G10" s="18">
        <v>700</v>
      </c>
    </row>
    <row r="11" spans="1:12" x14ac:dyDescent="0.45">
      <c r="A11" s="14" t="s">
        <v>29</v>
      </c>
      <c r="B11" s="24">
        <v>185000</v>
      </c>
      <c r="C11" s="24">
        <v>41000</v>
      </c>
      <c r="D11" s="18">
        <v>740</v>
      </c>
      <c r="F11" s="14" t="s">
        <v>29</v>
      </c>
      <c r="G11" s="18">
        <v>740</v>
      </c>
    </row>
    <row r="12" spans="1:12" x14ac:dyDescent="0.45">
      <c r="A12" s="14" t="s">
        <v>30</v>
      </c>
      <c r="B12" s="24">
        <v>190000</v>
      </c>
      <c r="C12" s="24">
        <v>43000</v>
      </c>
      <c r="D12" s="18">
        <v>780</v>
      </c>
      <c r="F12" s="14" t="s">
        <v>30</v>
      </c>
      <c r="G12" s="18">
        <v>780</v>
      </c>
    </row>
    <row r="13" spans="1:12" x14ac:dyDescent="0.45">
      <c r="A13" s="14" t="s">
        <v>31</v>
      </c>
      <c r="B13" s="24">
        <v>205000</v>
      </c>
      <c r="C13" s="24">
        <v>47000</v>
      </c>
      <c r="D13" s="18">
        <v>820</v>
      </c>
      <c r="F13" s="14" t="s">
        <v>31</v>
      </c>
      <c r="G13" s="18">
        <v>820</v>
      </c>
      <c r="J13" s="7" t="s">
        <v>52</v>
      </c>
      <c r="K13" s="8" t="s">
        <v>53</v>
      </c>
    </row>
    <row r="14" spans="1:12" x14ac:dyDescent="0.45">
      <c r="A14" s="14" t="s">
        <v>32</v>
      </c>
      <c r="B14" s="24">
        <v>215000</v>
      </c>
      <c r="C14" s="24">
        <v>51000</v>
      </c>
      <c r="D14" s="18">
        <v>850</v>
      </c>
      <c r="F14" s="14" t="s">
        <v>32</v>
      </c>
      <c r="G14" s="18">
        <v>850</v>
      </c>
      <c r="J14" s="14" t="s">
        <v>54</v>
      </c>
      <c r="K14" s="26">
        <v>120000</v>
      </c>
    </row>
    <row r="15" spans="1:12" x14ac:dyDescent="0.45">
      <c r="A15" s="14" t="s">
        <v>33</v>
      </c>
      <c r="B15" s="24">
        <v>230000</v>
      </c>
      <c r="C15" s="24">
        <v>56000</v>
      </c>
      <c r="D15" s="18">
        <v>900</v>
      </c>
      <c r="F15" s="14" t="s">
        <v>33</v>
      </c>
      <c r="G15" s="18">
        <v>900</v>
      </c>
      <c r="J15" s="14" t="s">
        <v>55</v>
      </c>
      <c r="K15" s="26">
        <v>65000</v>
      </c>
    </row>
    <row r="16" spans="1:12" x14ac:dyDescent="0.45">
      <c r="A16" s="16" t="s">
        <v>34</v>
      </c>
      <c r="B16" s="25">
        <v>250000</v>
      </c>
      <c r="C16" s="25">
        <v>64000</v>
      </c>
      <c r="D16" s="19">
        <v>960</v>
      </c>
      <c r="F16" s="16" t="s">
        <v>34</v>
      </c>
      <c r="G16" s="19">
        <v>960</v>
      </c>
      <c r="J16" s="14" t="s">
        <v>56</v>
      </c>
      <c r="K16" s="26">
        <v>42000</v>
      </c>
    </row>
    <row r="17" spans="1:12" x14ac:dyDescent="0.45">
      <c r="J17" s="14" t="s">
        <v>57</v>
      </c>
      <c r="K17" s="26">
        <v>-28000</v>
      </c>
    </row>
    <row r="18" spans="1:12" x14ac:dyDescent="0.45">
      <c r="J18" s="14" t="s">
        <v>58</v>
      </c>
      <c r="K18" s="26">
        <v>-12000</v>
      </c>
    </row>
    <row r="19" spans="1:12" x14ac:dyDescent="0.45">
      <c r="J19" s="16" t="s">
        <v>59</v>
      </c>
      <c r="K19" s="27">
        <v>187000</v>
      </c>
    </row>
    <row r="21" spans="1:12" x14ac:dyDescent="0.45">
      <c r="A21" s="7" t="s">
        <v>35</v>
      </c>
      <c r="B21" s="13" t="s">
        <v>36</v>
      </c>
      <c r="C21" s="13" t="s">
        <v>37</v>
      </c>
      <c r="D21" s="13" t="s">
        <v>38</v>
      </c>
      <c r="E21" s="8" t="s">
        <v>39</v>
      </c>
      <c r="G21" s="7" t="s">
        <v>35</v>
      </c>
      <c r="H21" s="8" t="s">
        <v>39</v>
      </c>
    </row>
    <row r="22" spans="1:12" x14ac:dyDescent="0.45">
      <c r="A22" s="14" t="s">
        <v>40</v>
      </c>
      <c r="B22" s="24">
        <v>42000</v>
      </c>
      <c r="C22" s="24">
        <v>36000</v>
      </c>
      <c r="D22" s="24">
        <v>28000</v>
      </c>
      <c r="E22" s="26">
        <f>SUM(B22:D22)</f>
        <v>106000</v>
      </c>
      <c r="G22" s="14" t="s">
        <v>40</v>
      </c>
      <c r="H22" s="26">
        <f>E22</f>
        <v>106000</v>
      </c>
    </row>
    <row r="23" spans="1:12" x14ac:dyDescent="0.45">
      <c r="A23" s="14" t="s">
        <v>41</v>
      </c>
      <c r="B23" s="24">
        <v>38000</v>
      </c>
      <c r="C23" s="24">
        <v>44000</v>
      </c>
      <c r="D23" s="24">
        <v>31000</v>
      </c>
      <c r="E23" s="26">
        <f>SUM(B23:D23)</f>
        <v>113000</v>
      </c>
      <c r="G23" s="14" t="s">
        <v>41</v>
      </c>
      <c r="H23" s="26">
        <f>E23</f>
        <v>113000</v>
      </c>
      <c r="J23" s="7" t="s">
        <v>60</v>
      </c>
      <c r="K23" s="13" t="s">
        <v>61</v>
      </c>
      <c r="L23" s="8" t="s">
        <v>62</v>
      </c>
    </row>
    <row r="24" spans="1:12" x14ac:dyDescent="0.45">
      <c r="A24" s="14" t="s">
        <v>42</v>
      </c>
      <c r="B24" s="24">
        <v>52000</v>
      </c>
      <c r="C24" s="24">
        <v>48000</v>
      </c>
      <c r="D24" s="24">
        <v>35000</v>
      </c>
      <c r="E24" s="26">
        <f>SUM(B24:D24)</f>
        <v>135000</v>
      </c>
      <c r="G24" s="14" t="s">
        <v>42</v>
      </c>
      <c r="H24" s="26">
        <f>E24</f>
        <v>135000</v>
      </c>
      <c r="J24" s="14" t="s">
        <v>63</v>
      </c>
      <c r="K24" s="15" t="s">
        <v>64</v>
      </c>
      <c r="L24" s="26">
        <v>43000</v>
      </c>
    </row>
    <row r="25" spans="1:12" x14ac:dyDescent="0.45">
      <c r="A25" s="14" t="s">
        <v>43</v>
      </c>
      <c r="B25" s="24">
        <v>46000</v>
      </c>
      <c r="C25" s="24">
        <v>39000</v>
      </c>
      <c r="D25" s="24">
        <v>42000</v>
      </c>
      <c r="E25" s="26">
        <f>SUM(B25:D25)</f>
        <v>127000</v>
      </c>
      <c r="G25" s="14" t="s">
        <v>43</v>
      </c>
      <c r="H25" s="26">
        <f>E25</f>
        <v>127000</v>
      </c>
      <c r="J25" s="14" t="s">
        <v>63</v>
      </c>
      <c r="K25" s="15" t="s">
        <v>65</v>
      </c>
      <c r="L25" s="26">
        <v>62000</v>
      </c>
    </row>
    <row r="26" spans="1:12" x14ac:dyDescent="0.45">
      <c r="A26" s="16" t="s">
        <v>44</v>
      </c>
      <c r="B26" s="25">
        <v>31000</v>
      </c>
      <c r="C26" s="25">
        <v>33000</v>
      </c>
      <c r="D26" s="25">
        <v>25000</v>
      </c>
      <c r="E26" s="27">
        <f>SUM(B26:D26)</f>
        <v>89000</v>
      </c>
      <c r="G26" s="16" t="s">
        <v>44</v>
      </c>
      <c r="H26" s="27">
        <f>E26</f>
        <v>89000</v>
      </c>
      <c r="J26" s="14" t="s">
        <v>63</v>
      </c>
      <c r="K26" s="15" t="s">
        <v>66</v>
      </c>
      <c r="L26" s="26">
        <v>51000</v>
      </c>
    </row>
    <row r="27" spans="1:12" x14ac:dyDescent="0.45">
      <c r="J27" s="14" t="s">
        <v>67</v>
      </c>
      <c r="K27" s="15" t="s">
        <v>68</v>
      </c>
      <c r="L27" s="26">
        <v>74000</v>
      </c>
    </row>
    <row r="28" spans="1:12" x14ac:dyDescent="0.45">
      <c r="J28" s="14" t="s">
        <v>67</v>
      </c>
      <c r="K28" s="15" t="s">
        <v>69</v>
      </c>
      <c r="L28" s="26">
        <v>92000</v>
      </c>
    </row>
    <row r="29" spans="1:12" x14ac:dyDescent="0.45">
      <c r="J29" s="14" t="s">
        <v>70</v>
      </c>
      <c r="K29" s="15" t="s">
        <v>71</v>
      </c>
      <c r="L29" s="26">
        <v>36000</v>
      </c>
    </row>
    <row r="30" spans="1:12" x14ac:dyDescent="0.45">
      <c r="J30" s="16" t="s">
        <v>70</v>
      </c>
      <c r="K30" s="17" t="s">
        <v>72</v>
      </c>
      <c r="L30" s="27">
        <v>47000</v>
      </c>
    </row>
    <row r="31" spans="1:12" x14ac:dyDescent="0.45">
      <c r="A31" s="5" t="s">
        <v>73</v>
      </c>
      <c r="C31" s="7" t="s">
        <v>74</v>
      </c>
      <c r="D31" s="13" t="s">
        <v>75</v>
      </c>
      <c r="E31" s="8" t="s">
        <v>76</v>
      </c>
    </row>
    <row r="32" spans="1:12" x14ac:dyDescent="0.45">
      <c r="A32" s="6">
        <v>52</v>
      </c>
      <c r="C32" s="14">
        <v>62</v>
      </c>
      <c r="D32" s="15">
        <v>58</v>
      </c>
      <c r="E32" s="10">
        <v>52</v>
      </c>
    </row>
    <row r="33" spans="1:10" x14ac:dyDescent="0.45">
      <c r="A33" s="6">
        <v>55</v>
      </c>
      <c r="C33" s="14">
        <v>64</v>
      </c>
      <c r="D33" s="15">
        <v>63</v>
      </c>
      <c r="E33" s="10">
        <v>60</v>
      </c>
    </row>
    <row r="34" spans="1:10" x14ac:dyDescent="0.45">
      <c r="A34" s="6">
        <v>58</v>
      </c>
      <c r="C34" s="14">
        <v>67</v>
      </c>
      <c r="D34" s="15">
        <v>65</v>
      </c>
      <c r="E34" s="10">
        <v>64</v>
      </c>
      <c r="G34" s="7" t="s">
        <v>77</v>
      </c>
      <c r="H34" s="13" t="s">
        <v>20</v>
      </c>
      <c r="I34" s="8" t="s">
        <v>78</v>
      </c>
    </row>
    <row r="35" spans="1:10" x14ac:dyDescent="0.45">
      <c r="A35" s="6">
        <v>61</v>
      </c>
      <c r="C35" s="14">
        <v>69</v>
      </c>
      <c r="D35" s="15">
        <v>68</v>
      </c>
      <c r="E35" s="10">
        <v>67</v>
      </c>
      <c r="G35" s="28">
        <v>12</v>
      </c>
      <c r="H35" s="24">
        <v>95</v>
      </c>
      <c r="I35" s="10">
        <v>18</v>
      </c>
    </row>
    <row r="36" spans="1:10" x14ac:dyDescent="0.45">
      <c r="A36" s="6">
        <v>62</v>
      </c>
      <c r="C36" s="14">
        <v>71</v>
      </c>
      <c r="D36" s="15">
        <v>70</v>
      </c>
      <c r="E36" s="10">
        <v>70</v>
      </c>
      <c r="G36" s="28">
        <v>15</v>
      </c>
      <c r="H36" s="24">
        <v>110</v>
      </c>
      <c r="I36" s="10">
        <v>22</v>
      </c>
    </row>
    <row r="37" spans="1:10" x14ac:dyDescent="0.45">
      <c r="A37" s="6">
        <v>64</v>
      </c>
      <c r="C37" s="14">
        <v>72</v>
      </c>
      <c r="D37" s="15">
        <v>74</v>
      </c>
      <c r="E37" s="10">
        <v>73</v>
      </c>
      <c r="G37" s="28">
        <v>18</v>
      </c>
      <c r="H37" s="24">
        <v>125</v>
      </c>
      <c r="I37" s="10">
        <v>25</v>
      </c>
    </row>
    <row r="38" spans="1:10" x14ac:dyDescent="0.45">
      <c r="A38" s="6">
        <v>66</v>
      </c>
      <c r="C38" s="14">
        <v>75</v>
      </c>
      <c r="D38" s="15">
        <v>76</v>
      </c>
      <c r="E38" s="10">
        <v>77</v>
      </c>
      <c r="G38" s="28">
        <v>20</v>
      </c>
      <c r="H38" s="24">
        <v>138</v>
      </c>
      <c r="I38" s="10">
        <v>28</v>
      </c>
    </row>
    <row r="39" spans="1:10" x14ac:dyDescent="0.45">
      <c r="A39" s="6">
        <v>67</v>
      </c>
      <c r="C39" s="14">
        <v>78</v>
      </c>
      <c r="D39" s="15">
        <v>79</v>
      </c>
      <c r="E39" s="10">
        <v>81</v>
      </c>
      <c r="G39" s="28">
        <v>24</v>
      </c>
      <c r="H39" s="24">
        <v>150</v>
      </c>
      <c r="I39" s="10">
        <v>32</v>
      </c>
    </row>
    <row r="40" spans="1:10" x14ac:dyDescent="0.45">
      <c r="A40" s="6">
        <v>69</v>
      </c>
      <c r="C40" s="14">
        <v>80</v>
      </c>
      <c r="D40" s="15">
        <v>82</v>
      </c>
      <c r="E40" s="10">
        <v>85</v>
      </c>
      <c r="G40" s="28">
        <v>27</v>
      </c>
      <c r="H40" s="24">
        <v>168</v>
      </c>
      <c r="I40" s="10">
        <v>36</v>
      </c>
    </row>
    <row r="41" spans="1:10" x14ac:dyDescent="0.45">
      <c r="A41" s="6">
        <v>70</v>
      </c>
      <c r="C41" s="16">
        <v>83</v>
      </c>
      <c r="D41" s="17">
        <v>86</v>
      </c>
      <c r="E41" s="12">
        <v>90</v>
      </c>
      <c r="G41" s="28">
        <v>30</v>
      </c>
      <c r="H41" s="24">
        <v>182</v>
      </c>
      <c r="I41" s="10">
        <v>40</v>
      </c>
    </row>
    <row r="42" spans="1:10" x14ac:dyDescent="0.45">
      <c r="A42" s="6">
        <v>71</v>
      </c>
      <c r="G42" s="28">
        <v>34</v>
      </c>
      <c r="H42" s="24">
        <v>205</v>
      </c>
      <c r="I42" s="10">
        <v>45</v>
      </c>
    </row>
    <row r="43" spans="1:10" x14ac:dyDescent="0.45">
      <c r="A43" s="6">
        <v>72</v>
      </c>
      <c r="G43" s="28">
        <v>38</v>
      </c>
      <c r="H43" s="24">
        <v>218</v>
      </c>
      <c r="I43" s="10">
        <v>48</v>
      </c>
    </row>
    <row r="44" spans="1:10" x14ac:dyDescent="0.45">
      <c r="A44" s="6">
        <v>73</v>
      </c>
      <c r="G44" s="29">
        <v>42</v>
      </c>
      <c r="H44" s="25">
        <v>240</v>
      </c>
      <c r="I44" s="12">
        <v>55</v>
      </c>
    </row>
    <row r="45" spans="1:10" x14ac:dyDescent="0.45">
      <c r="A45" s="6">
        <v>74</v>
      </c>
    </row>
    <row r="46" spans="1:10" x14ac:dyDescent="0.45">
      <c r="A46" s="6">
        <v>75</v>
      </c>
    </row>
    <row r="47" spans="1:10" x14ac:dyDescent="0.45">
      <c r="A47" s="6">
        <v>77</v>
      </c>
    </row>
    <row r="48" spans="1:10" x14ac:dyDescent="0.45">
      <c r="A48" s="6">
        <v>78</v>
      </c>
      <c r="G48" s="7" t="s">
        <v>79</v>
      </c>
      <c r="H48" s="13" t="s">
        <v>36</v>
      </c>
      <c r="I48" s="13" t="s">
        <v>37</v>
      </c>
      <c r="J48" s="8" t="s">
        <v>38</v>
      </c>
    </row>
    <row r="49" spans="1:10" x14ac:dyDescent="0.45">
      <c r="A49" s="6">
        <v>80</v>
      </c>
      <c r="G49" s="14" t="s">
        <v>80</v>
      </c>
      <c r="H49" s="15">
        <v>8</v>
      </c>
      <c r="I49" s="15">
        <v>6</v>
      </c>
      <c r="J49" s="10">
        <v>7</v>
      </c>
    </row>
    <row r="50" spans="1:10" x14ac:dyDescent="0.45">
      <c r="A50" s="6">
        <v>82</v>
      </c>
      <c r="G50" s="14" t="s">
        <v>81</v>
      </c>
      <c r="H50" s="15">
        <v>7</v>
      </c>
      <c r="I50" s="15">
        <v>8</v>
      </c>
      <c r="J50" s="10">
        <v>6</v>
      </c>
    </row>
    <row r="51" spans="1:10" x14ac:dyDescent="0.45">
      <c r="A51" s="6">
        <v>84</v>
      </c>
      <c r="G51" s="14" t="s">
        <v>82</v>
      </c>
      <c r="H51" s="15">
        <v>6</v>
      </c>
      <c r="I51" s="15">
        <v>7</v>
      </c>
      <c r="J51" s="10">
        <v>9</v>
      </c>
    </row>
    <row r="52" spans="1:10" x14ac:dyDescent="0.45">
      <c r="A52" s="6">
        <v>86</v>
      </c>
      <c r="G52" s="14" t="s">
        <v>51</v>
      </c>
      <c r="H52" s="15">
        <v>9</v>
      </c>
      <c r="I52" s="15">
        <v>7</v>
      </c>
      <c r="J52" s="10">
        <v>6</v>
      </c>
    </row>
    <row r="53" spans="1:10" x14ac:dyDescent="0.45">
      <c r="A53" s="6">
        <v>88</v>
      </c>
      <c r="G53" s="16" t="s">
        <v>83</v>
      </c>
      <c r="H53" s="17">
        <v>7</v>
      </c>
      <c r="I53" s="17">
        <v>8</v>
      </c>
      <c r="J53" s="12">
        <v>8</v>
      </c>
    </row>
    <row r="54" spans="1:10" x14ac:dyDescent="0.45">
      <c r="A54" s="6">
        <v>91</v>
      </c>
    </row>
    <row r="55" spans="1:10" x14ac:dyDescent="0.45">
      <c r="A55" s="22">
        <v>94</v>
      </c>
    </row>
  </sheetData>
  <mergeCells count="2">
    <mergeCell ref="A1:L1"/>
    <mergeCell ref="A2:L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Cover</vt:lpstr>
      <vt:lpstr>Trend Charts</vt:lpstr>
      <vt:lpstr>Comparison Charts</vt:lpstr>
      <vt:lpstr>Composition Charts</vt:lpstr>
      <vt:lpstr>Statistical Charts</vt:lpstr>
      <vt:lpstr>Relationship Charts</vt:lpstr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Melka</dc:creator>
  <cp:lastModifiedBy>Jakub Melka</cp:lastModifiedBy>
  <dcterms:created xsi:type="dcterms:W3CDTF">2026-08-02T14:56:27Z</dcterms:created>
  <dcterms:modified xsi:type="dcterms:W3CDTF">2026-08-02T15:08:22Z</dcterms:modified>
</cp:coreProperties>
</file>