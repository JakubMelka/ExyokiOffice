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Programming\EverydayOffice\EverydayOffice2\corpus\excel\"/>
    </mc:Choice>
  </mc:AlternateContent>
  <xr:revisionPtr revIDLastSave="0" documentId="8_{87CF9999-C9FE-4E8E-B954-21ABA889694A}" xr6:coauthVersionLast="47" xr6:coauthVersionMax="47" xr10:uidLastSave="{00000000-0000-0000-0000-000000000000}"/>
  <bookViews>
    <workbookView xWindow="-98" yWindow="-98" windowWidth="28996" windowHeight="15675" xr2:uid="{8869411F-1891-4690-B689-B54E8A4050A6}"/>
  </bookViews>
  <sheets>
    <sheet name="Cover" sheetId="1" r:id="rId1"/>
    <sheet name="Weekly Timetable" sheetId="2" r:id="rId2"/>
    <sheet name="Homework Tracker" sheetId="3" r:id="rId3"/>
    <sheet name="Grade Planner"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5" i="4" l="1"/>
  <c r="E16" i="4"/>
  <c r="E17" i="4"/>
  <c r="B17" i="4"/>
  <c r="B16" i="4"/>
  <c r="B15" i="4"/>
  <c r="E5" i="4"/>
  <c r="E6" i="4"/>
  <c r="E7" i="4"/>
  <c r="E8" i="4"/>
  <c r="E9" i="4"/>
  <c r="E10" i="4"/>
  <c r="B18" i="3"/>
  <c r="B16" i="3"/>
  <c r="H9" i="3"/>
  <c r="G5" i="3"/>
  <c r="H5" i="3" s="1"/>
  <c r="G6" i="3"/>
  <c r="H6" i="3" s="1"/>
  <c r="G7" i="3"/>
  <c r="H7" i="3" s="1"/>
  <c r="G8" i="3"/>
  <c r="H8" i="3" s="1"/>
  <c r="G9" i="3"/>
  <c r="G10" i="3"/>
  <c r="H10" i="3" s="1"/>
  <c r="G11" i="3"/>
  <c r="H11" i="3" s="1"/>
  <c r="B28" i="2"/>
  <c r="C17" i="2"/>
  <c r="C18" i="2"/>
  <c r="C19" i="2"/>
  <c r="C20" i="2"/>
  <c r="C21" i="2"/>
  <c r="C22" i="2"/>
  <c r="C23" i="2"/>
  <c r="C24" i="2"/>
  <c r="C25" i="2"/>
  <c r="C26" i="2"/>
  <c r="B17" i="2"/>
  <c r="B18" i="2"/>
  <c r="B19" i="2"/>
  <c r="B20" i="2"/>
  <c r="B21" i="2"/>
  <c r="B22" i="2"/>
  <c r="B23" i="2"/>
  <c r="B24" i="2"/>
  <c r="B25" i="2"/>
  <c r="B26" i="2"/>
  <c r="B17" i="3" l="1"/>
</calcChain>
</file>

<file path=xl/sharedStrings.xml><?xml version="1.0" encoding="utf-8"?>
<sst xmlns="http://schemas.openxmlformats.org/spreadsheetml/2006/main" count="170" uniqueCount="103">
  <si>
    <t>Student Planner Workbook</t>
  </si>
  <si>
    <t>A polished sample workbook demonstrating advanced tables, live formulas, data validation, and visual formatting for an elementary school student.</t>
  </si>
  <si>
    <t>CONTENTS</t>
  </si>
  <si>
    <t>DESCRIPTION</t>
  </si>
  <si>
    <t>Weekly Timetable</t>
  </si>
  <si>
    <t>Color-coded weekly schedule with subject summary formulas and total lesson counts.</t>
  </si>
  <si>
    <t>Homework Tracker</t>
  </si>
  <si>
    <t>Structured assignment table with due-date formulas, status rules, priorities, and alerts.</t>
  </si>
  <si>
    <t>Grade Planner</t>
  </si>
  <si>
    <t>Weighted grade table with current vs. target scores, gaps, and focus recommendations.</t>
  </si>
  <si>
    <t>Story in Brief</t>
  </si>
  <si>
    <t>This workbook is designed as a compact school-planning example: the timetable makes the week easy to scan, the homework tracker highlights urgent assignments, and the grade planner turns goals into measurable gaps. All calculated values use workbook formulas, so the model updates when a user changes dates, statuses, scores, or subject entries.</t>
  </si>
  <si>
    <t>Sample elementary school schedule — edit subject names in the grid and the summary updates automatically.</t>
  </si>
  <si>
    <t>Time</t>
  </si>
  <si>
    <t>Monday</t>
  </si>
  <si>
    <t>Tuesday</t>
  </si>
  <si>
    <t>Wednesday</t>
  </si>
  <si>
    <t>Thursday</t>
  </si>
  <si>
    <t>Friday</t>
  </si>
  <si>
    <t>08:00–08:45</t>
  </si>
  <si>
    <t>Math</t>
  </si>
  <si>
    <t>English</t>
  </si>
  <si>
    <t>Science</t>
  </si>
  <si>
    <t>Art</t>
  </si>
  <si>
    <t>08:55–09:40</t>
  </si>
  <si>
    <t>Reading</t>
  </si>
  <si>
    <t>Music</t>
  </si>
  <si>
    <t>09:50–10:35</t>
  </si>
  <si>
    <t>PE</t>
  </si>
  <si>
    <t>10:45–11:30</t>
  </si>
  <si>
    <t>11:30–12:15</t>
  </si>
  <si>
    <t>Lunch</t>
  </si>
  <si>
    <t>12:15–13:00</t>
  </si>
  <si>
    <t>13:10–13:55</t>
  </si>
  <si>
    <t>14:05–14:50</t>
  </si>
  <si>
    <t>Club</t>
  </si>
  <si>
    <t>Library</t>
  </si>
  <si>
    <t>Free Study</t>
  </si>
  <si>
    <t>SUBJECT SUMMARY</t>
  </si>
  <si>
    <t>Subject</t>
  </si>
  <si>
    <t>Lessons / Week</t>
  </si>
  <si>
    <t>Share of Week</t>
  </si>
  <si>
    <t>Total lessons</t>
  </si>
  <si>
    <t>Structured assignment table with due-date formulas, priorities, and automatic alert labels.</t>
  </si>
  <si>
    <t>Assignment</t>
  </si>
  <si>
    <t>Due Date</t>
  </si>
  <si>
    <t>Estimated Hours</t>
  </si>
  <si>
    <t>Status</t>
  </si>
  <si>
    <t>Priority</t>
  </si>
  <si>
    <t>Days Left</t>
  </si>
  <si>
    <t>Alert</t>
  </si>
  <si>
    <t>Notes</t>
  </si>
  <si>
    <t>Fractions worksheet</t>
  </si>
  <si>
    <t>In Progress</t>
  </si>
  <si>
    <t>High</t>
  </si>
  <si>
    <t>Bring ruler</t>
  </si>
  <si>
    <t>Book report draft</t>
  </si>
  <si>
    <t>Not Started</t>
  </si>
  <si>
    <t>Use three paragraphs</t>
  </si>
  <si>
    <t>Plant growth observation</t>
  </si>
  <si>
    <t>Medium</t>
  </si>
  <si>
    <t>Add photo notes</t>
  </si>
  <si>
    <t>Chapter 5 quiz prep</t>
  </si>
  <si>
    <t>Review vocabulary</t>
  </si>
  <si>
    <t>Color wheel project</t>
  </si>
  <si>
    <t>Done</t>
  </si>
  <si>
    <t>Low</t>
  </si>
  <si>
    <t>Submitted in class</t>
  </si>
  <si>
    <t>Practice recorder song</t>
  </si>
  <si>
    <t>Practice 10 minutes daily</t>
  </si>
  <si>
    <t>Fitness log</t>
  </si>
  <si>
    <t>Parent signature needed</t>
  </si>
  <si>
    <t>QUICK COUNTS</t>
  </si>
  <si>
    <t>Metric</t>
  </si>
  <si>
    <t>Value</t>
  </si>
  <si>
    <t>Open assignments</t>
  </si>
  <si>
    <t>Due in 2 days</t>
  </si>
  <si>
    <t>Total estimated hours</t>
  </si>
  <si>
    <t>Weighted grade table: adjust current scores, target scores, and weights to see study gaps update.</t>
  </si>
  <si>
    <t>Weight</t>
  </si>
  <si>
    <t>Current Score</t>
  </si>
  <si>
    <t>Target Score</t>
  </si>
  <si>
    <t>Gap to Target</t>
  </si>
  <si>
    <t>Study Focus</t>
  </si>
  <si>
    <t>Fractions and word problems</t>
  </si>
  <si>
    <t>Reading comprehension</t>
  </si>
  <si>
    <t>Lab observations</t>
  </si>
  <si>
    <t>Daily vocabulary</t>
  </si>
  <si>
    <t>Portfolio neatness</t>
  </si>
  <si>
    <t>Fitness log consistency</t>
  </si>
  <si>
    <t>GRADE SUMMARY</t>
  </si>
  <si>
    <t>Weighted current score</t>
  </si>
  <si>
    <t>Weighted target score</t>
  </si>
  <si>
    <t>Overall gap</t>
  </si>
  <si>
    <t>Key Finding</t>
  </si>
  <si>
    <t>Interpretation</t>
  </si>
  <si>
    <t>Action</t>
  </si>
  <si>
    <t>Largest gap</t>
  </si>
  <si>
    <t>Spend the first study block here.</t>
  </si>
  <si>
    <t>Strongest subject</t>
  </si>
  <si>
    <t>Maintain with light review.</t>
  </si>
  <si>
    <t>Total target lift</t>
  </si>
  <si>
    <t>Close the gap through focused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</si>
</sst>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m\ d\,\ yyyy"/>
    <numFmt numFmtId="166" formatCode="0.0"/>
  </numFmts>
  <fonts count="9" x14ac:knownFonts="1">
    <font>
      <sz val="11"/>
      <color theme="1"/>
      <name val="Aptos Narrow"/>
      <family val="2"/>
      <charset val="238"/>
      <scheme val="minor"/>
    </font>
    <font>
      <b/>
      <sz val="20"/>
      <color rgb="FFFFFFFF"/>
      <name val="Aptos"/>
    </font>
    <font>
      <sz val="11"/>
      <color theme="1"/>
      <name val="Aptos"/>
    </font>
    <font>
      <i/>
      <sz val="11"/>
      <color rgb="FF666666"/>
      <name val="Aptos"/>
    </font>
    <font>
      <b/>
      <sz val="11"/>
      <color rgb="FFFFFFFF"/>
      <name val="Aptos"/>
    </font>
    <font>
      <b/>
      <sz val="11"/>
      <color rgb="FF1F4E79"/>
      <name val="Aptos"/>
    </font>
    <font>
      <sz val="11"/>
      <color rgb="FF333333"/>
      <name val="Aptos"/>
    </font>
    <font>
      <b/>
      <sz val="18"/>
      <color rgb="FFFFFFFF"/>
      <name val="Aptos"/>
    </font>
    <font>
      <b/>
      <sz val="11"/>
      <color theme="1"/>
      <name val="Aptos"/>
    </font>
  </fonts>
  <fills count="17">
    <fill>
      <patternFill patternType="none"/>
    </fill>
    <fill>
      <patternFill patternType="gray125"/>
    </fill>
    <fill>
      <patternFill patternType="solid">
        <fgColor rgb="FF1F4E79"/>
        <bgColor indexed="64"/>
      </patternFill>
    </fill>
    <fill>
      <patternFill patternType="solid">
        <fgColor rgb="FF5B9BD5"/>
        <bgColor indexed="64"/>
      </patternFill>
    </fill>
    <fill>
      <patternFill patternType="solid">
        <fgColor rgb="FF70AD47"/>
        <bgColor indexed="64"/>
      </patternFill>
    </fill>
    <fill>
      <patternFill patternType="solid">
        <fgColor rgb="FFF2F2F2"/>
        <bgColor indexed="64"/>
      </patternFill>
    </fill>
    <fill>
      <patternFill patternType="solid">
        <fgColor rgb="FFD9EAD3"/>
        <bgColor indexed="64"/>
      </patternFill>
    </fill>
    <fill>
      <patternFill patternType="solid">
        <fgColor rgb="FFCFE2F3"/>
        <bgColor indexed="64"/>
      </patternFill>
    </fill>
    <fill>
      <patternFill patternType="solid">
        <fgColor rgb="FFD9D2E9"/>
        <bgColor indexed="64"/>
      </patternFill>
    </fill>
    <fill>
      <patternFill patternType="solid">
        <fgColor rgb="FFFCE4D6"/>
        <bgColor indexed="64"/>
      </patternFill>
    </fill>
    <fill>
      <patternFill patternType="solid">
        <fgColor rgb="FFFFF2CC"/>
        <bgColor indexed="64"/>
      </patternFill>
    </fill>
    <fill>
      <patternFill patternType="solid">
        <fgColor rgb="FFE2F0D9"/>
        <bgColor indexed="64"/>
      </patternFill>
    </fill>
    <fill>
      <patternFill patternType="solid">
        <fgColor rgb="FFF4CCCC"/>
        <bgColor indexed="64"/>
      </patternFill>
    </fill>
    <fill>
      <patternFill patternType="solid">
        <fgColor rgb="FFE7E6E6"/>
        <bgColor indexed="64"/>
      </patternFill>
    </fill>
    <fill>
      <patternFill patternType="solid">
        <fgColor rgb="FFDDEBF7"/>
        <bgColor indexed="64"/>
      </patternFill>
    </fill>
    <fill>
      <patternFill patternType="solid">
        <fgColor rgb="FFEADCF8"/>
        <bgColor indexed="64"/>
      </patternFill>
    </fill>
    <fill>
      <patternFill patternType="solid">
        <fgColor rgb="FFE2EFDA"/>
        <bgColor indexed="64"/>
      </patternFill>
    </fill>
  </fills>
  <borders count="21">
    <border>
      <left/>
      <right/>
      <top/>
      <bottom/>
      <diagonal/>
    </border>
    <border>
      <left/>
      <right/>
      <top/>
      <bottom style="thin">
        <color rgb="FFBFBFBF"/>
      </bottom>
      <diagonal/>
    </border>
    <border>
      <left/>
      <right/>
      <top style="thin">
        <color rgb="FFBFBFBF"/>
      </top>
      <bottom style="thin">
        <color rgb="FFBFBFBF"/>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rgb="FFBFBFBF"/>
      </right>
      <top style="thin">
        <color auto="1"/>
      </top>
      <bottom style="thin">
        <color rgb="FFBFBFBF"/>
      </bottom>
      <diagonal/>
    </border>
    <border>
      <left style="thin">
        <color rgb="FFBFBFBF"/>
      </left>
      <right style="thin">
        <color rgb="FFBFBFBF"/>
      </right>
      <top style="thin">
        <color auto="1"/>
      </top>
      <bottom style="thin">
        <color rgb="FFBFBFBF"/>
      </bottom>
      <diagonal/>
    </border>
    <border>
      <left style="thin">
        <color rgb="FFBFBFBF"/>
      </left>
      <right style="thin">
        <color auto="1"/>
      </right>
      <top style="thin">
        <color auto="1"/>
      </top>
      <bottom style="thin">
        <color rgb="FFBFBFBF"/>
      </bottom>
      <diagonal/>
    </border>
    <border>
      <left style="thin">
        <color auto="1"/>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auto="1"/>
      </right>
      <top style="thin">
        <color rgb="FFBFBFBF"/>
      </top>
      <bottom style="thin">
        <color rgb="FFBFBFBF"/>
      </bottom>
      <diagonal/>
    </border>
    <border>
      <left style="thin">
        <color auto="1"/>
      </left>
      <right style="thin">
        <color rgb="FFBFBFBF"/>
      </right>
      <top style="thin">
        <color rgb="FFBFBFBF"/>
      </top>
      <bottom style="thin">
        <color auto="1"/>
      </bottom>
      <diagonal/>
    </border>
    <border>
      <left style="thin">
        <color rgb="FFBFBFBF"/>
      </left>
      <right style="thin">
        <color rgb="FFBFBFBF"/>
      </right>
      <top style="thin">
        <color rgb="FFBFBFBF"/>
      </top>
      <bottom style="thin">
        <color auto="1"/>
      </bottom>
      <diagonal/>
    </border>
    <border>
      <left style="thin">
        <color rgb="FFBFBFBF"/>
      </left>
      <right style="thin">
        <color auto="1"/>
      </right>
      <top style="thin">
        <color rgb="FFBFBFBF"/>
      </top>
      <bottom style="thin">
        <color auto="1"/>
      </bottom>
      <diagonal/>
    </border>
  </borders>
  <cellStyleXfs count="1">
    <xf numFmtId="0" fontId="0" fillId="0" borderId="0"/>
  </cellStyleXfs>
  <cellXfs count="52">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0" borderId="0" xfId="0" applyFont="1" applyAlignment="1">
      <alignment vertical="center" wrapText="1"/>
    </xf>
    <xf numFmtId="0" fontId="2" fillId="0" borderId="0" xfId="0" applyFont="1" applyAlignment="1">
      <alignment vertical="center"/>
    </xf>
    <xf numFmtId="0" fontId="4" fillId="3" borderId="1" xfId="0" applyFont="1" applyFill="1" applyBorder="1" applyAlignment="1">
      <alignment vertical="center"/>
    </xf>
    <xf numFmtId="0" fontId="5" fillId="0" borderId="2" xfId="0" applyFont="1" applyBorder="1" applyAlignment="1">
      <alignment vertical="center"/>
    </xf>
    <xf numFmtId="0" fontId="6" fillId="0" borderId="2" xfId="0" applyFont="1" applyBorder="1" applyAlignment="1">
      <alignment vertical="center" wrapText="1"/>
    </xf>
    <xf numFmtId="0" fontId="4" fillId="4" borderId="0" xfId="0" applyFont="1" applyFill="1" applyAlignment="1">
      <alignment vertical="center"/>
    </xf>
    <xf numFmtId="0" fontId="6" fillId="0" borderId="0" xfId="0" applyFont="1" applyAlignment="1">
      <alignment vertical="center" wrapText="1"/>
    </xf>
    <xf numFmtId="0" fontId="8" fillId="5" borderId="15" xfId="0" applyFont="1" applyFill="1" applyBorder="1" applyAlignment="1">
      <alignment horizontal="center" vertical="center"/>
    </xf>
    <xf numFmtId="0" fontId="2" fillId="6" borderId="16" xfId="0" applyFont="1" applyFill="1" applyBorder="1" applyAlignment="1">
      <alignment horizontal="center" vertical="center"/>
    </xf>
    <xf numFmtId="0" fontId="2" fillId="7" borderId="16" xfId="0" applyFont="1" applyFill="1" applyBorder="1" applyAlignment="1">
      <alignment horizontal="center" vertical="center"/>
    </xf>
    <xf numFmtId="0" fontId="2" fillId="8" borderId="16" xfId="0" applyFont="1" applyFill="1" applyBorder="1" applyAlignment="1">
      <alignment horizontal="center" vertical="center"/>
    </xf>
    <xf numFmtId="0" fontId="2" fillId="9" borderId="17" xfId="0" applyFont="1" applyFill="1" applyBorder="1" applyAlignment="1">
      <alignment horizontal="center" vertical="center"/>
    </xf>
    <xf numFmtId="0" fontId="2" fillId="10" borderId="16" xfId="0" applyFont="1" applyFill="1" applyBorder="1" applyAlignment="1">
      <alignment horizontal="center" vertical="center"/>
    </xf>
    <xf numFmtId="0" fontId="2" fillId="11" borderId="17" xfId="0" applyFont="1" applyFill="1" applyBorder="1" applyAlignment="1">
      <alignment horizontal="center" vertical="center"/>
    </xf>
    <xf numFmtId="0" fontId="2" fillId="12" borderId="16" xfId="0" applyFont="1" applyFill="1" applyBorder="1" applyAlignment="1">
      <alignment horizontal="center" vertical="center"/>
    </xf>
    <xf numFmtId="0" fontId="2" fillId="6" borderId="17" xfId="0" applyFont="1" applyFill="1" applyBorder="1" applyAlignment="1">
      <alignment horizontal="center" vertical="center"/>
    </xf>
    <xf numFmtId="0" fontId="2" fillId="9" borderId="16" xfId="0" applyFont="1" applyFill="1" applyBorder="1" applyAlignment="1">
      <alignment horizontal="center" vertical="center"/>
    </xf>
    <xf numFmtId="0" fontId="2" fillId="8" borderId="17" xfId="0" applyFont="1" applyFill="1" applyBorder="1" applyAlignment="1">
      <alignment horizontal="center" vertical="center"/>
    </xf>
    <xf numFmtId="0" fontId="2" fillId="13" borderId="16" xfId="0" applyFont="1" applyFill="1" applyBorder="1" applyAlignment="1">
      <alignment horizontal="center" vertical="center"/>
    </xf>
    <xf numFmtId="0" fontId="2" fillId="13" borderId="17" xfId="0" applyFont="1" applyFill="1" applyBorder="1" applyAlignment="1">
      <alignment horizontal="center" vertical="center"/>
    </xf>
    <xf numFmtId="0" fontId="2" fillId="7" borderId="17" xfId="0" applyFont="1" applyFill="1" applyBorder="1" applyAlignment="1">
      <alignment horizontal="center" vertical="center"/>
    </xf>
    <xf numFmtId="0" fontId="2" fillId="11" borderId="16" xfId="0" applyFont="1" applyFill="1" applyBorder="1" applyAlignment="1">
      <alignment horizontal="center" vertical="center"/>
    </xf>
    <xf numFmtId="0" fontId="2" fillId="10" borderId="17" xfId="0" applyFont="1" applyFill="1" applyBorder="1" applyAlignment="1">
      <alignment horizontal="center" vertical="center"/>
    </xf>
    <xf numFmtId="0" fontId="8" fillId="5" borderId="18" xfId="0" applyFont="1" applyFill="1" applyBorder="1" applyAlignment="1">
      <alignment horizontal="center" vertical="center"/>
    </xf>
    <xf numFmtId="0" fontId="2" fillId="14" borderId="19" xfId="0" applyFont="1" applyFill="1" applyBorder="1" applyAlignment="1">
      <alignment horizontal="center" vertical="center"/>
    </xf>
    <xf numFmtId="0" fontId="2" fillId="15" borderId="19" xfId="0" applyFont="1" applyFill="1" applyBorder="1" applyAlignment="1">
      <alignment horizontal="center" vertical="center"/>
    </xf>
    <xf numFmtId="0" fontId="2" fillId="11" borderId="19" xfId="0" applyFont="1" applyFill="1" applyBorder="1" applyAlignment="1">
      <alignment horizontal="center" vertical="center"/>
    </xf>
    <xf numFmtId="0" fontId="2" fillId="16" borderId="20" xfId="0" applyFont="1" applyFill="1" applyBorder="1" applyAlignment="1">
      <alignment horizontal="center" vertical="center"/>
    </xf>
    <xf numFmtId="0" fontId="7" fillId="2" borderId="0" xfId="0" applyFont="1" applyFill="1" applyAlignment="1">
      <alignment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3" xfId="0" applyFont="1" applyFill="1" applyBorder="1" applyAlignment="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2" fillId="0" borderId="6" xfId="0" applyFont="1" applyBorder="1" applyAlignment="1">
      <alignment vertical="center"/>
    </xf>
    <xf numFmtId="1" fontId="2" fillId="0" borderId="7" xfId="0" applyNumberFormat="1" applyFont="1" applyBorder="1" applyAlignment="1">
      <alignment vertical="center"/>
    </xf>
    <xf numFmtId="164" fontId="2" fillId="0" borderId="8" xfId="0" applyNumberFormat="1" applyFont="1" applyBorder="1" applyAlignment="1">
      <alignment vertical="center"/>
    </xf>
    <xf numFmtId="0" fontId="2" fillId="0" borderId="9" xfId="0" applyFont="1" applyBorder="1" applyAlignment="1">
      <alignment vertical="center"/>
    </xf>
    <xf numFmtId="1" fontId="2" fillId="0" borderId="10" xfId="0" applyNumberFormat="1" applyFont="1" applyBorder="1" applyAlignment="1">
      <alignment vertical="center"/>
    </xf>
    <xf numFmtId="164" fontId="2" fillId="0" borderId="11" xfId="0" applyNumberFormat="1" applyFont="1" applyBorder="1" applyAlignment="1">
      <alignment vertical="center"/>
    </xf>
    <xf numFmtId="0" fontId="8" fillId="0" borderId="0" xfId="0" applyFont="1" applyAlignment="1">
      <alignment vertical="center"/>
    </xf>
    <xf numFmtId="1" fontId="8" fillId="0" borderId="0" xfId="0" applyNumberFormat="1" applyFont="1" applyFill="1" applyBorder="1" applyAlignment="1">
      <alignment vertical="center"/>
    </xf>
    <xf numFmtId="0" fontId="2" fillId="0" borderId="0" xfId="0" applyFont="1" applyAlignment="1">
      <alignment vertical="center" wrapText="1"/>
    </xf>
    <xf numFmtId="165" fontId="2" fillId="0" borderId="0" xfId="0" applyNumberFormat="1" applyFont="1" applyAlignment="1">
      <alignment vertical="center"/>
    </xf>
    <xf numFmtId="166" fontId="2" fillId="0" borderId="0" xfId="0" applyNumberFormat="1" applyFont="1" applyAlignment="1">
      <alignment vertical="center"/>
    </xf>
    <xf numFmtId="1" fontId="2" fillId="0" borderId="0" xfId="0" applyNumberFormat="1" applyFont="1" applyAlignment="1">
      <alignment vertical="center"/>
    </xf>
    <xf numFmtId="0" fontId="4" fillId="3" borderId="0" xfId="0" applyFont="1" applyFill="1" applyAlignment="1">
      <alignment vertical="center"/>
    </xf>
    <xf numFmtId="164" fontId="2" fillId="0" borderId="0" xfId="0" applyNumberFormat="1" applyFont="1" applyAlignment="1">
      <alignment vertical="center"/>
    </xf>
  </cellXfs>
  <cellStyles count="1">
    <cellStyle name="Normální" xfId="0" builtinId="0"/>
  </cellStyles>
  <dxfs count="22">
    <dxf>
      <font>
        <name val="Aptos"/>
      </font>
      <alignment vertical="center" wrapText="1"/>
    </dxf>
    <dxf>
      <font>
        <name val="Aptos"/>
      </font>
      <alignment vertical="center" wrapText="1"/>
    </dxf>
    <dxf>
      <font>
        <name val="Aptos"/>
      </font>
      <alignment vertical="center" wrapText="1"/>
    </dxf>
    <dxf>
      <font>
        <name val="Aptos"/>
      </font>
      <alignment vertical="center"/>
    </dxf>
    <dxf>
      <font>
        <name val="Aptos"/>
      </font>
      <alignment vertical="center"/>
    </dxf>
    <dxf>
      <font>
        <name val="Aptos"/>
      </font>
      <numFmt numFmtId="164" formatCode="0.0%"/>
      <alignment vertical="center"/>
    </dxf>
    <dxf>
      <font>
        <name val="Aptos"/>
      </font>
      <numFmt numFmtId="164" formatCode="0.0%"/>
      <alignment vertical="center"/>
    </dxf>
    <dxf>
      <font>
        <name val="Aptos"/>
      </font>
      <numFmt numFmtId="164" formatCode="0.0%"/>
      <alignment vertical="center"/>
    </dxf>
    <dxf>
      <font>
        <name val="Aptos"/>
      </font>
      <numFmt numFmtId="164" formatCode="0.0%"/>
      <alignment vertical="center"/>
    </dxf>
    <dxf>
      <font>
        <name val="Aptos"/>
      </font>
      <alignment vertical="center"/>
    </dxf>
    <dxf>
      <font>
        <name val="Aptos"/>
      </font>
      <alignment vertical="center"/>
    </dxf>
    <dxf>
      <font>
        <name val="Aptos"/>
      </font>
      <alignment vertical="center"/>
    </dxf>
    <dxf>
      <font>
        <name val="Aptos"/>
      </font>
      <alignment vertical="center"/>
    </dxf>
    <dxf>
      <font>
        <name val="Aptos"/>
      </font>
      <numFmt numFmtId="1" formatCode="0"/>
      <alignment vertical="center"/>
    </dxf>
    <dxf>
      <font>
        <name val="Aptos"/>
      </font>
      <alignment vertical="center"/>
    </dxf>
    <dxf>
      <font>
        <name val="Aptos"/>
      </font>
      <alignment vertical="center"/>
    </dxf>
    <dxf>
      <font>
        <name val="Aptos"/>
      </font>
      <numFmt numFmtId="166" formatCode="0.0"/>
      <alignment vertical="center"/>
    </dxf>
    <dxf>
      <font>
        <name val="Aptos"/>
      </font>
      <numFmt numFmtId="165" formatCode="mmm\ d\,\ yyyy"/>
      <alignment vertical="center"/>
    </dxf>
    <dxf>
      <font>
        <name val="Aptos"/>
      </font>
      <alignment vertical="center"/>
    </dxf>
    <dxf>
      <font>
        <color rgb="FF274E13"/>
      </font>
      <fill>
        <patternFill patternType="solid">
          <fgColor indexed="64"/>
          <bgColor rgb="FFD9EAD3"/>
        </patternFill>
      </fill>
    </dxf>
    <dxf>
      <font>
        <color rgb="FF7F6000"/>
      </font>
      <fill>
        <patternFill patternType="solid">
          <fgColor indexed="64"/>
          <bgColor rgb="FFFFF2CC"/>
        </patternFill>
      </fill>
    </dxf>
    <dxf>
      <font>
        <color rgb="FF9C0006"/>
      </font>
      <fill>
        <patternFill patternType="solid">
          <fgColor indexed="64"/>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7A1B84-2F21-4B95-8511-DA3A99E6B2B4}" name="tblHomework" displayName="tblHomework" ref="A4:I11" totalsRowShown="0" headerRowDxfId="11" dataDxfId="10">
  <autoFilter ref="A4:I11" xr:uid="{F57A1B84-2F21-4B95-8511-DA3A99E6B2B4}"/>
  <tableColumns count="9">
    <tableColumn id="1" xr3:uid="{67699871-CF29-4390-82F9-3068C0375513}" name="Subject" dataDxfId="18"/>
    <tableColumn id="2" xr3:uid="{39625468-3E8F-43DD-A0A1-A64D3F460C66}" name="Assignment" dataDxfId="2"/>
    <tableColumn id="3" xr3:uid="{407AA823-58FC-457C-82B8-6F39F678A9A7}" name="Due Date" dataDxfId="17"/>
    <tableColumn id="4" xr3:uid="{9E24F197-0647-44F0-9946-2D9F702E19A3}" name="Estimated Hours" dataDxfId="16"/>
    <tableColumn id="5" xr3:uid="{3096721B-82DE-46BE-9117-F3194CF5F271}" name="Status" dataDxfId="15"/>
    <tableColumn id="6" xr3:uid="{C61E82A5-0A16-4C21-9289-47DFF76669E3}" name="Priority" dataDxfId="14"/>
    <tableColumn id="7" xr3:uid="{9AE90BE4-6E26-4018-80E8-26C444EC7DF1}" name="Days Left" dataDxfId="13">
      <calculatedColumnFormula>tblHomework[[#This Row],[Due Date]]-TODAY()</calculatedColumnFormula>
    </tableColumn>
    <tableColumn id="8" xr3:uid="{64A6E838-C1ED-4947-9730-BA4047799FB4}" name="Alert" dataDxfId="12">
      <calculatedColumnFormula>IF(tblHomework[[#This Row],[Status]]="Done","Complete",IF(tblHomework[[#This Row],[Days Left]]&lt;0,"Overdue",IF(tblHomework[[#This Row],[Days Left]]&lt;=2,"Due Soon","On Track")))</calculatedColumnFormula>
    </tableColumn>
    <tableColumn id="9" xr3:uid="{848D6B70-BAF3-44AD-922E-2B396624A901}" name="Notes"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8A0258-682B-4796-BA19-F0D0B328E01D}" name="tblGrades" displayName="tblGrades" ref="A4:F10" totalsRowShown="0" headerRowDxfId="4" dataDxfId="3">
  <autoFilter ref="A4:F10" xr:uid="{FB8A0258-682B-4796-BA19-F0D0B328E01D}"/>
  <tableColumns count="6">
    <tableColumn id="1" xr3:uid="{3303C859-DD36-4C99-B126-A864427D991B}" name="Subject" dataDxfId="9"/>
    <tableColumn id="2" xr3:uid="{7764B7D9-429D-43BF-BFE2-67E8B95BE294}" name="Weight" dataDxfId="8"/>
    <tableColumn id="3" xr3:uid="{4CD099AD-9472-47A5-B132-1AB62C18923E}" name="Current Score" dataDxfId="7"/>
    <tableColumn id="4" xr3:uid="{A0627C27-B55F-43D0-96C2-E950D3938EBF}" name="Target Score" dataDxfId="6"/>
    <tableColumn id="5" xr3:uid="{C8943DDA-E83F-4DFA-993E-5A1C09FAAF50}" name="Gap to Target" dataDxfId="5">
      <calculatedColumnFormula>tblGrades[[#This Row],[Target Score]]-tblGrades[[#This Row],[Current Score]]</calculatedColumnFormula>
    </tableColumn>
    <tableColumn id="6" xr3:uid="{5239ECC9-2430-479B-B35A-C63DC4128A01}" name="Study Focus" dataDxfId="0"/>
  </tableColumns>
  <tableStyleInfo name="TableStyleMedium4" showFirstColumn="0" showLastColumn="0" showRowStripes="1" showColumnStripes="0"/>
</table>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C27E-0858-4F12-B9D9-E9E82B75634F}">
  <dimension ref="A1:H12"/>
  <sheetViews>
    <sheetView tabSelected="1" workbookViewId="0">
      <selection sqref="A1:H1"/>
    </sheetView>
  </sheetViews>
  <sheetFormatPr defaultRowHeight="14.25" x14ac:dyDescent="0.45"/>
  <cols>
    <col min="1" max="1" width="35.53125" customWidth="1"/>
    <col min="2" max="2" width="62.19921875" customWidth="1"/>
    <col min="3" max="8" width="35.53125" customWidth="1"/>
  </cols>
  <sheetData>
    <row r="1" spans="1:8" ht="26.65" x14ac:dyDescent="0.45">
      <c r="A1" s="1" t="s">
        <v>0</v>
      </c>
      <c r="B1" s="1"/>
      <c r="C1" s="4"/>
      <c r="D1" s="4"/>
      <c r="E1" s="4"/>
      <c r="F1" s="4"/>
      <c r="G1" s="4"/>
      <c r="H1" s="4"/>
    </row>
    <row r="2" spans="1:8" x14ac:dyDescent="0.45">
      <c r="A2" s="3" t="s">
        <v>1</v>
      </c>
      <c r="B2" s="3"/>
      <c r="C2" s="4"/>
      <c r="D2" s="4"/>
      <c r="E2" s="4"/>
      <c r="F2" s="4"/>
      <c r="G2" s="4"/>
      <c r="H2" s="4"/>
    </row>
    <row r="3" spans="1:8" x14ac:dyDescent="0.45">
      <c r="A3" s="4"/>
      <c r="B3" s="4"/>
      <c r="C3" s="4"/>
      <c r="D3" s="4"/>
      <c r="E3" s="4"/>
      <c r="F3" s="4"/>
      <c r="G3" s="4"/>
      <c r="H3" s="4"/>
    </row>
    <row r="4" spans="1:8" x14ac:dyDescent="0.45">
      <c r="A4" s="5" t="s">
        <v>2</v>
      </c>
      <c r="B4" s="5" t="s">
        <v>3</v>
      </c>
      <c r="C4" s="4"/>
      <c r="D4" s="4"/>
      <c r="E4" s="4"/>
      <c r="F4" s="4"/>
      <c r="G4" s="4"/>
      <c r="H4" s="4"/>
    </row>
    <row r="5" spans="1:8" ht="28.5" x14ac:dyDescent="0.45">
      <c r="A5" s="6" t="s">
        <v>4</v>
      </c>
      <c r="B5" s="7" t="s">
        <v>5</v>
      </c>
      <c r="C5" s="4"/>
      <c r="D5" s="4"/>
      <c r="E5" s="4"/>
      <c r="F5" s="4"/>
      <c r="G5" s="4"/>
      <c r="H5" s="4"/>
    </row>
    <row r="6" spans="1:8" ht="28.5" x14ac:dyDescent="0.45">
      <c r="A6" s="6" t="s">
        <v>6</v>
      </c>
      <c r="B6" s="7" t="s">
        <v>7</v>
      </c>
      <c r="C6" s="4"/>
      <c r="D6" s="4"/>
      <c r="E6" s="4"/>
      <c r="F6" s="4"/>
      <c r="G6" s="4"/>
      <c r="H6" s="4"/>
    </row>
    <row r="7" spans="1:8" ht="28.5" x14ac:dyDescent="0.45">
      <c r="A7" s="6" t="s">
        <v>8</v>
      </c>
      <c r="B7" s="7" t="s">
        <v>9</v>
      </c>
      <c r="C7" s="4"/>
      <c r="D7" s="4"/>
      <c r="E7" s="4"/>
      <c r="F7" s="4"/>
      <c r="G7" s="4"/>
      <c r="H7" s="4"/>
    </row>
    <row r="8" spans="1:8" x14ac:dyDescent="0.45">
      <c r="A8" s="4"/>
      <c r="B8" s="4"/>
      <c r="C8" s="4"/>
      <c r="D8" s="4"/>
      <c r="E8" s="4"/>
      <c r="F8" s="4"/>
      <c r="G8" s="4"/>
      <c r="H8" s="4"/>
    </row>
    <row r="9" spans="1:8" x14ac:dyDescent="0.45">
      <c r="A9" s="8" t="s">
        <v>10</v>
      </c>
      <c r="B9" s="8"/>
      <c r="C9" s="4"/>
      <c r="D9" s="4"/>
      <c r="E9" s="4"/>
      <c r="F9" s="4"/>
      <c r="G9" s="4"/>
      <c r="H9" s="4"/>
    </row>
    <row r="10" spans="1:8" x14ac:dyDescent="0.45">
      <c r="A10" s="9" t="s">
        <v>11</v>
      </c>
      <c r="B10" s="9"/>
      <c r="C10" s="4"/>
      <c r="D10" s="4"/>
      <c r="E10" s="4"/>
      <c r="F10" s="4"/>
      <c r="G10" s="4"/>
      <c r="H10" s="4"/>
    </row>
    <row r="11" spans="1:8" x14ac:dyDescent="0.45">
      <c r="A11" s="9"/>
      <c r="B11" s="9"/>
      <c r="C11" s="4"/>
      <c r="D11" s="4"/>
      <c r="E11" s="4"/>
      <c r="F11" s="4"/>
      <c r="G11" s="4"/>
      <c r="H11" s="4"/>
    </row>
    <row r="12" spans="1:8" x14ac:dyDescent="0.45">
      <c r="A12" s="9"/>
      <c r="B12" s="9"/>
      <c r="C12" s="4"/>
      <c r="D12" s="4"/>
      <c r="E12" s="4"/>
      <c r="F12" s="4"/>
      <c r="G12" s="4"/>
      <c r="H12" s="4"/>
    </row>
  </sheetData>
  <mergeCells count="4">
    <mergeCell ref="A1:B1"/>
    <mergeCell ref="A2:B2"/>
    <mergeCell ref="A9:B9"/>
    <mergeCell ref="A10:B12"/>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FAFE-C434-4101-9092-1023D5D10B81}">
  <dimension ref="A1:H28"/>
  <sheetViews>
    <sheetView workbookViewId="0">
      <selection sqref="A1:F1"/>
    </sheetView>
  </sheetViews>
  <sheetFormatPr defaultRowHeight="14.25" x14ac:dyDescent="0.45"/>
  <cols>
    <col min="1" max="6" width="16" customWidth="1"/>
    <col min="7" max="8" width="16.86328125" customWidth="1"/>
  </cols>
  <sheetData>
    <row r="1" spans="1:8" ht="23.25" x14ac:dyDescent="0.45">
      <c r="A1" s="31" t="s">
        <v>4</v>
      </c>
      <c r="B1" s="31"/>
      <c r="C1" s="31"/>
      <c r="D1" s="31"/>
      <c r="E1" s="31"/>
      <c r="F1" s="31"/>
      <c r="G1" s="4"/>
      <c r="H1" s="4"/>
    </row>
    <row r="2" spans="1:8" x14ac:dyDescent="0.45">
      <c r="A2" s="3" t="s">
        <v>12</v>
      </c>
      <c r="B2" s="3"/>
      <c r="C2" s="3"/>
      <c r="D2" s="3"/>
      <c r="E2" s="3"/>
      <c r="F2" s="3"/>
      <c r="G2" s="4"/>
      <c r="H2" s="4"/>
    </row>
    <row r="3" spans="1:8" x14ac:dyDescent="0.45">
      <c r="A3" s="4"/>
      <c r="B3" s="4"/>
      <c r="C3" s="4"/>
      <c r="D3" s="4"/>
      <c r="E3" s="4"/>
      <c r="F3" s="4"/>
      <c r="G3" s="4"/>
      <c r="H3" s="4"/>
    </row>
    <row r="4" spans="1:8" x14ac:dyDescent="0.45">
      <c r="A4" s="32" t="s">
        <v>13</v>
      </c>
      <c r="B4" s="33" t="s">
        <v>14</v>
      </c>
      <c r="C4" s="33" t="s">
        <v>15</v>
      </c>
      <c r="D4" s="33" t="s">
        <v>16</v>
      </c>
      <c r="E4" s="33" t="s">
        <v>17</v>
      </c>
      <c r="F4" s="34" t="s">
        <v>18</v>
      </c>
      <c r="G4" s="4"/>
      <c r="H4" s="4"/>
    </row>
    <row r="5" spans="1:8" x14ac:dyDescent="0.45">
      <c r="A5" s="10" t="s">
        <v>19</v>
      </c>
      <c r="B5" s="11" t="s">
        <v>20</v>
      </c>
      <c r="C5" s="12" t="s">
        <v>21</v>
      </c>
      <c r="D5" s="11" t="s">
        <v>20</v>
      </c>
      <c r="E5" s="13" t="s">
        <v>22</v>
      </c>
      <c r="F5" s="14" t="s">
        <v>23</v>
      </c>
      <c r="G5" s="4"/>
      <c r="H5" s="4"/>
    </row>
    <row r="6" spans="1:8" x14ac:dyDescent="0.45">
      <c r="A6" s="10" t="s">
        <v>24</v>
      </c>
      <c r="B6" s="12" t="s">
        <v>21</v>
      </c>
      <c r="C6" s="11" t="s">
        <v>20</v>
      </c>
      <c r="D6" s="15" t="s">
        <v>25</v>
      </c>
      <c r="E6" s="11" t="s">
        <v>20</v>
      </c>
      <c r="F6" s="16" t="s">
        <v>26</v>
      </c>
      <c r="G6" s="4"/>
      <c r="H6" s="4"/>
    </row>
    <row r="7" spans="1:8" x14ac:dyDescent="0.45">
      <c r="A7" s="10" t="s">
        <v>27</v>
      </c>
      <c r="B7" s="13" t="s">
        <v>22</v>
      </c>
      <c r="C7" s="17" t="s">
        <v>28</v>
      </c>
      <c r="D7" s="12" t="s">
        <v>21</v>
      </c>
      <c r="E7" s="15" t="s">
        <v>25</v>
      </c>
      <c r="F7" s="18" t="s">
        <v>20</v>
      </c>
      <c r="G7" s="4"/>
      <c r="H7" s="4"/>
    </row>
    <row r="8" spans="1:8" x14ac:dyDescent="0.45">
      <c r="A8" s="10" t="s">
        <v>29</v>
      </c>
      <c r="B8" s="15" t="s">
        <v>25</v>
      </c>
      <c r="C8" s="13" t="s">
        <v>22</v>
      </c>
      <c r="D8" s="19" t="s">
        <v>23</v>
      </c>
      <c r="E8" s="12" t="s">
        <v>21</v>
      </c>
      <c r="F8" s="20" t="s">
        <v>22</v>
      </c>
      <c r="G8" s="4"/>
      <c r="H8" s="4"/>
    </row>
    <row r="9" spans="1:8" x14ac:dyDescent="0.45">
      <c r="A9" s="10" t="s">
        <v>30</v>
      </c>
      <c r="B9" s="21" t="s">
        <v>31</v>
      </c>
      <c r="C9" s="21" t="s">
        <v>31</v>
      </c>
      <c r="D9" s="21" t="s">
        <v>31</v>
      </c>
      <c r="E9" s="21" t="s">
        <v>31</v>
      </c>
      <c r="F9" s="22" t="s">
        <v>31</v>
      </c>
      <c r="G9" s="4"/>
      <c r="H9" s="4"/>
    </row>
    <row r="10" spans="1:8" x14ac:dyDescent="0.45">
      <c r="A10" s="10" t="s">
        <v>32</v>
      </c>
      <c r="B10" s="19" t="s">
        <v>23</v>
      </c>
      <c r="C10" s="15" t="s">
        <v>25</v>
      </c>
      <c r="D10" s="13" t="s">
        <v>22</v>
      </c>
      <c r="E10" s="17" t="s">
        <v>28</v>
      </c>
      <c r="F10" s="23" t="s">
        <v>21</v>
      </c>
      <c r="G10" s="4"/>
      <c r="H10" s="4"/>
    </row>
    <row r="11" spans="1:8" x14ac:dyDescent="0.45">
      <c r="A11" s="10" t="s">
        <v>33</v>
      </c>
      <c r="B11" s="24" t="s">
        <v>26</v>
      </c>
      <c r="C11" s="19" t="s">
        <v>23</v>
      </c>
      <c r="D11" s="17" t="s">
        <v>28</v>
      </c>
      <c r="E11" s="11" t="s">
        <v>20</v>
      </c>
      <c r="F11" s="25" t="s">
        <v>25</v>
      </c>
      <c r="G11" s="4"/>
      <c r="H11" s="4"/>
    </row>
    <row r="12" spans="1:8" x14ac:dyDescent="0.45">
      <c r="A12" s="26" t="s">
        <v>34</v>
      </c>
      <c r="B12" s="27" t="s">
        <v>35</v>
      </c>
      <c r="C12" s="28" t="s">
        <v>36</v>
      </c>
      <c r="D12" s="27" t="s">
        <v>35</v>
      </c>
      <c r="E12" s="29" t="s">
        <v>26</v>
      </c>
      <c r="F12" s="30" t="s">
        <v>37</v>
      </c>
      <c r="G12" s="4"/>
      <c r="H12" s="4"/>
    </row>
    <row r="13" spans="1:8" x14ac:dyDescent="0.45">
      <c r="A13" s="4"/>
      <c r="B13" s="4"/>
      <c r="C13" s="4"/>
      <c r="D13" s="4"/>
      <c r="E13" s="4"/>
      <c r="F13" s="4"/>
      <c r="G13" s="4"/>
      <c r="H13" s="4"/>
    </row>
    <row r="14" spans="1:8" x14ac:dyDescent="0.45">
      <c r="A14" s="4"/>
      <c r="B14" s="4"/>
      <c r="C14" s="4"/>
      <c r="D14" s="4"/>
      <c r="E14" s="4"/>
      <c r="F14" s="4"/>
      <c r="G14" s="4"/>
      <c r="H14" s="4"/>
    </row>
    <row r="15" spans="1:8" x14ac:dyDescent="0.45">
      <c r="A15" s="8" t="s">
        <v>38</v>
      </c>
      <c r="B15" s="2"/>
      <c r="C15" s="2"/>
      <c r="D15" s="4"/>
      <c r="E15" s="4"/>
      <c r="F15" s="4"/>
      <c r="G15" s="4"/>
      <c r="H15" s="4"/>
    </row>
    <row r="16" spans="1:8" x14ac:dyDescent="0.45">
      <c r="A16" s="35" t="s">
        <v>39</v>
      </c>
      <c r="B16" s="36" t="s">
        <v>40</v>
      </c>
      <c r="C16" s="37" t="s">
        <v>41</v>
      </c>
      <c r="D16" s="4"/>
      <c r="E16" s="4"/>
      <c r="F16" s="4"/>
      <c r="G16" s="4"/>
      <c r="H16" s="4"/>
    </row>
    <row r="17" spans="1:8" x14ac:dyDescent="0.45">
      <c r="A17" s="38" t="s">
        <v>20</v>
      </c>
      <c r="B17" s="39">
        <f>COUNTIF($B$5:$F$12,A17)</f>
        <v>6</v>
      </c>
      <c r="C17" s="40">
        <f>B17/SUM($B$17:$B$26)</f>
        <v>0.17142857142857143</v>
      </c>
      <c r="D17" s="4"/>
      <c r="E17" s="4"/>
      <c r="F17" s="4"/>
      <c r="G17" s="4"/>
      <c r="H17" s="4"/>
    </row>
    <row r="18" spans="1:8" x14ac:dyDescent="0.45">
      <c r="A18" s="38" t="s">
        <v>21</v>
      </c>
      <c r="B18" s="39">
        <f>COUNTIF($B$5:$F$12,A18)</f>
        <v>5</v>
      </c>
      <c r="C18" s="40">
        <f>B18/SUM($B$17:$B$26)</f>
        <v>0.14285714285714285</v>
      </c>
      <c r="D18" s="4"/>
      <c r="E18" s="4"/>
      <c r="F18" s="4"/>
      <c r="G18" s="4"/>
      <c r="H18" s="4"/>
    </row>
    <row r="19" spans="1:8" x14ac:dyDescent="0.45">
      <c r="A19" s="38" t="s">
        <v>22</v>
      </c>
      <c r="B19" s="39">
        <f>COUNTIF($B$5:$F$12,A19)</f>
        <v>5</v>
      </c>
      <c r="C19" s="40">
        <f>B19/SUM($B$17:$B$26)</f>
        <v>0.14285714285714285</v>
      </c>
      <c r="D19" s="4"/>
      <c r="E19" s="4"/>
      <c r="F19" s="4"/>
      <c r="G19" s="4"/>
      <c r="H19" s="4"/>
    </row>
    <row r="20" spans="1:8" x14ac:dyDescent="0.45">
      <c r="A20" s="38" t="s">
        <v>25</v>
      </c>
      <c r="B20" s="39">
        <f>COUNTIF($B$5:$F$12,A20)</f>
        <v>5</v>
      </c>
      <c r="C20" s="40">
        <f>B20/SUM($B$17:$B$26)</f>
        <v>0.14285714285714285</v>
      </c>
      <c r="D20" s="4"/>
      <c r="E20" s="4"/>
      <c r="F20" s="4"/>
      <c r="G20" s="4"/>
      <c r="H20" s="4"/>
    </row>
    <row r="21" spans="1:8" x14ac:dyDescent="0.45">
      <c r="A21" s="38" t="s">
        <v>23</v>
      </c>
      <c r="B21" s="39">
        <f>COUNTIF($B$5:$F$12,A21)</f>
        <v>4</v>
      </c>
      <c r="C21" s="40">
        <f>B21/SUM($B$17:$B$26)</f>
        <v>0.11428571428571428</v>
      </c>
      <c r="D21" s="4"/>
      <c r="E21" s="4"/>
      <c r="F21" s="4"/>
      <c r="G21" s="4"/>
      <c r="H21" s="4"/>
    </row>
    <row r="22" spans="1:8" x14ac:dyDescent="0.45">
      <c r="A22" s="38" t="s">
        <v>26</v>
      </c>
      <c r="B22" s="39">
        <f>COUNTIF($B$5:$F$12,A22)</f>
        <v>3</v>
      </c>
      <c r="C22" s="40">
        <f>B22/SUM($B$17:$B$26)</f>
        <v>8.5714285714285715E-2</v>
      </c>
      <c r="D22" s="4"/>
      <c r="E22" s="4"/>
      <c r="F22" s="4"/>
      <c r="G22" s="4"/>
      <c r="H22" s="4"/>
    </row>
    <row r="23" spans="1:8" x14ac:dyDescent="0.45">
      <c r="A23" s="38" t="s">
        <v>28</v>
      </c>
      <c r="B23" s="39">
        <f>COUNTIF($B$5:$F$12,A23)</f>
        <v>3</v>
      </c>
      <c r="C23" s="40">
        <f>B23/SUM($B$17:$B$26)</f>
        <v>8.5714285714285715E-2</v>
      </c>
      <c r="D23" s="4"/>
      <c r="E23" s="4"/>
      <c r="F23" s="4"/>
      <c r="G23" s="4"/>
      <c r="H23" s="4"/>
    </row>
    <row r="24" spans="1:8" x14ac:dyDescent="0.45">
      <c r="A24" s="38" t="s">
        <v>35</v>
      </c>
      <c r="B24" s="39">
        <f>COUNTIF($B$5:$F$12,A24)</f>
        <v>2</v>
      </c>
      <c r="C24" s="40">
        <f>B24/SUM($B$17:$B$26)</f>
        <v>5.7142857142857141E-2</v>
      </c>
      <c r="D24" s="4"/>
      <c r="E24" s="4"/>
      <c r="F24" s="4"/>
      <c r="G24" s="4"/>
      <c r="H24" s="4"/>
    </row>
    <row r="25" spans="1:8" x14ac:dyDescent="0.45">
      <c r="A25" s="38" t="s">
        <v>36</v>
      </c>
      <c r="B25" s="39">
        <f>COUNTIF($B$5:$F$12,A25)</f>
        <v>1</v>
      </c>
      <c r="C25" s="40">
        <f>B25/SUM($B$17:$B$26)</f>
        <v>2.8571428571428571E-2</v>
      </c>
      <c r="D25" s="4"/>
      <c r="E25" s="4"/>
      <c r="F25" s="4"/>
      <c r="G25" s="4"/>
      <c r="H25" s="4"/>
    </row>
    <row r="26" spans="1:8" x14ac:dyDescent="0.45">
      <c r="A26" s="41" t="s">
        <v>37</v>
      </c>
      <c r="B26" s="42">
        <f>COUNTIF($B$5:$F$12,A26)</f>
        <v>1</v>
      </c>
      <c r="C26" s="43">
        <f>B26/SUM($B$17:$B$26)</f>
        <v>2.8571428571428571E-2</v>
      </c>
      <c r="D26" s="4"/>
      <c r="E26" s="4"/>
      <c r="F26" s="4"/>
      <c r="G26" s="4"/>
      <c r="H26" s="4"/>
    </row>
    <row r="27" spans="1:8" x14ac:dyDescent="0.45">
      <c r="A27" s="4"/>
      <c r="B27" s="4"/>
      <c r="C27" s="4"/>
      <c r="D27" s="4"/>
      <c r="E27" s="4"/>
      <c r="F27" s="4"/>
      <c r="G27" s="4"/>
      <c r="H27" s="4"/>
    </row>
    <row r="28" spans="1:8" x14ac:dyDescent="0.45">
      <c r="A28" s="44" t="s">
        <v>42</v>
      </c>
      <c r="B28" s="45">
        <f>SUM(B17:B26)</f>
        <v>35</v>
      </c>
      <c r="C28" s="4"/>
      <c r="D28" s="4"/>
      <c r="E28" s="4"/>
      <c r="F28" s="4"/>
      <c r="G28" s="4"/>
      <c r="H28" s="4"/>
    </row>
  </sheetData>
  <mergeCells count="3">
    <mergeCell ref="A15:C15"/>
    <mergeCell ref="A1:F1"/>
    <mergeCell ref="A2:F2"/>
  </mergeCells>
  <conditionalFormatting sqref="B17:B26">
    <cfRule type="dataBar" priority="1">
      <dataBar>
        <cfvo type="min"/>
        <cfvo type="max"/>
        <color rgb="FF638EC6"/>
      </dataBar>
      <extLst>
        <ext xmlns:x14="http://schemas.microsoft.com/office/spreadsheetml/2009/9/main" uri="{B025F937-C7B1-47D3-B67F-A62EFF666E3E}">
          <x14:id>{EB313C5C-0E78-4877-9C36-44E11AB704A8}</x14:id>
        </ext>
      </extLst>
    </cfRule>
  </conditionalFormatting>
  <pageMargins left="0.7" right="0.7" top="0.78740157499999996" bottom="0.78740157499999996" header="0.3" footer="0.3"/>
  <extLst>
    <ext xmlns:x14="http://schemas.microsoft.com/office/spreadsheetml/2009/9/main" uri="{78C0D931-6437-407d-A8EE-F0AAD7539E65}">
      <x14:conditionalFormattings>
        <x14:conditionalFormatting xmlns:xm="http://schemas.microsoft.com/office/excel/2006/main">
          <x14:cfRule type="dataBar" id="{EB313C5C-0E78-4877-9C36-44E11AB704A8}">
            <x14:dataBar minLength="0" maxLength="100" direction="leftToRight" negativeBarColorSameAsPositive="1" axisPosition="none">
              <x14:cfvo type="min"/>
              <x14:cfvo type="max"/>
            </x14:dataBar>
          </x14:cfRule>
          <xm:sqref>B17:B26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7552-4295-4C41-AED1-B9F60D4E8DF6}">
  <dimension ref="A1:I18"/>
  <sheetViews>
    <sheetView workbookViewId="0">
      <selection sqref="A1:I1"/>
    </sheetView>
  </sheetViews>
  <sheetFormatPr defaultRowHeight="14.25" x14ac:dyDescent="0.45"/>
  <cols>
    <col min="1" max="1" width="13.33203125" customWidth="1"/>
    <col min="2" max="2" width="24.86328125" customWidth="1"/>
    <col min="3" max="3" width="15.1328125" customWidth="1"/>
    <col min="4" max="4" width="14.19921875" customWidth="1"/>
    <col min="5" max="5" width="15.1328125" customWidth="1"/>
    <col min="6" max="6" width="12.46484375" customWidth="1"/>
    <col min="7" max="7" width="11.53125" customWidth="1"/>
    <col min="8" max="8" width="13.33203125" customWidth="1"/>
    <col min="9" max="9" width="24.86328125" customWidth="1"/>
  </cols>
  <sheetData>
    <row r="1" spans="1:9" ht="23.25" x14ac:dyDescent="0.45">
      <c r="A1" s="31" t="s">
        <v>6</v>
      </c>
      <c r="B1" s="2"/>
      <c r="C1" s="2"/>
      <c r="D1" s="2"/>
      <c r="E1" s="2"/>
      <c r="F1" s="2"/>
      <c r="G1" s="2"/>
      <c r="H1" s="2"/>
      <c r="I1" s="2"/>
    </row>
    <row r="2" spans="1:9" x14ac:dyDescent="0.45">
      <c r="A2" s="3" t="s">
        <v>43</v>
      </c>
      <c r="B2" s="2"/>
      <c r="C2" s="2"/>
      <c r="D2" s="2"/>
      <c r="E2" s="2"/>
      <c r="F2" s="2"/>
      <c r="G2" s="2"/>
      <c r="H2" s="2"/>
      <c r="I2" s="2"/>
    </row>
    <row r="3" spans="1:9" x14ac:dyDescent="0.45">
      <c r="A3" s="4"/>
      <c r="B3" s="4"/>
      <c r="C3" s="4"/>
      <c r="D3" s="4"/>
      <c r="E3" s="4"/>
      <c r="F3" s="4"/>
      <c r="G3" s="4"/>
      <c r="H3" s="4"/>
      <c r="I3" s="4"/>
    </row>
    <row r="4" spans="1:9" x14ac:dyDescent="0.45">
      <c r="A4" s="4" t="s">
        <v>39</v>
      </c>
      <c r="B4" s="4" t="s">
        <v>44</v>
      </c>
      <c r="C4" s="4" t="s">
        <v>45</v>
      </c>
      <c r="D4" s="4" t="s">
        <v>46</v>
      </c>
      <c r="E4" s="4" t="s">
        <v>47</v>
      </c>
      <c r="F4" s="4" t="s">
        <v>48</v>
      </c>
      <c r="G4" s="4" t="s">
        <v>49</v>
      </c>
      <c r="H4" s="4" t="s">
        <v>50</v>
      </c>
      <c r="I4" s="4" t="s">
        <v>51</v>
      </c>
    </row>
    <row r="5" spans="1:9" x14ac:dyDescent="0.45">
      <c r="A5" s="4" t="s">
        <v>20</v>
      </c>
      <c r="B5" s="46" t="s">
        <v>52</v>
      </c>
      <c r="C5" s="47">
        <v>46238</v>
      </c>
      <c r="D5" s="48">
        <v>1</v>
      </c>
      <c r="E5" s="4" t="s">
        <v>53</v>
      </c>
      <c r="F5" s="4" t="s">
        <v>54</v>
      </c>
      <c r="G5" s="49">
        <f ca="1">tblHomework[[#This Row],[Due Date]]-TODAY()</f>
        <v>2</v>
      </c>
      <c r="H5" s="4" t="str">
        <f ca="1">IF(tblHomework[[#This Row],[Status]]="Done","Complete",IF(tblHomework[[#This Row],[Days Left]]&lt;0,"Overdue",IF(tblHomework[[#This Row],[Days Left]]&lt;=2,"Due Soon","On Track")))</f>
        <v>Due Soon</v>
      </c>
      <c r="I5" s="46" t="s">
        <v>55</v>
      </c>
    </row>
    <row r="6" spans="1:9" x14ac:dyDescent="0.45">
      <c r="A6" s="4" t="s">
        <v>21</v>
      </c>
      <c r="B6" s="46" t="s">
        <v>56</v>
      </c>
      <c r="C6" s="47">
        <v>46241</v>
      </c>
      <c r="D6" s="48">
        <v>2.5</v>
      </c>
      <c r="E6" s="4" t="s">
        <v>57</v>
      </c>
      <c r="F6" s="4" t="s">
        <v>54</v>
      </c>
      <c r="G6" s="49">
        <f ca="1">tblHomework[[#This Row],[Due Date]]-TODAY()</f>
        <v>5</v>
      </c>
      <c r="H6" s="4" t="str">
        <f ca="1">IF(tblHomework[[#This Row],[Status]]="Done","Complete",IF(tblHomework[[#This Row],[Days Left]]&lt;0,"Overdue",IF(tblHomework[[#This Row],[Days Left]]&lt;=2,"Due Soon","On Track")))</f>
        <v>On Track</v>
      </c>
      <c r="I6" s="46" t="s">
        <v>58</v>
      </c>
    </row>
    <row r="7" spans="1:9" x14ac:dyDescent="0.45">
      <c r="A7" s="4" t="s">
        <v>22</v>
      </c>
      <c r="B7" s="46" t="s">
        <v>59</v>
      </c>
      <c r="C7" s="47">
        <v>46244</v>
      </c>
      <c r="D7" s="48">
        <v>1.5</v>
      </c>
      <c r="E7" s="4" t="s">
        <v>53</v>
      </c>
      <c r="F7" s="4" t="s">
        <v>60</v>
      </c>
      <c r="G7" s="49">
        <f ca="1">tblHomework[[#This Row],[Due Date]]-TODAY()</f>
        <v>8</v>
      </c>
      <c r="H7" s="4" t="str">
        <f ca="1">IF(tblHomework[[#This Row],[Status]]="Done","Complete",IF(tblHomework[[#This Row],[Days Left]]&lt;0,"Overdue",IF(tblHomework[[#This Row],[Days Left]]&lt;=2,"Due Soon","On Track")))</f>
        <v>On Track</v>
      </c>
      <c r="I7" s="46" t="s">
        <v>61</v>
      </c>
    </row>
    <row r="8" spans="1:9" x14ac:dyDescent="0.45">
      <c r="A8" s="4" t="s">
        <v>25</v>
      </c>
      <c r="B8" s="46" t="s">
        <v>62</v>
      </c>
      <c r="C8" s="47">
        <v>46237</v>
      </c>
      <c r="D8" s="48">
        <v>0.5</v>
      </c>
      <c r="E8" s="4" t="s">
        <v>57</v>
      </c>
      <c r="F8" s="4" t="s">
        <v>60</v>
      </c>
      <c r="G8" s="49">
        <f ca="1">tblHomework[[#This Row],[Due Date]]-TODAY()</f>
        <v>1</v>
      </c>
      <c r="H8" s="4" t="str">
        <f ca="1">IF(tblHomework[[#This Row],[Status]]="Done","Complete",IF(tblHomework[[#This Row],[Days Left]]&lt;0,"Overdue",IF(tblHomework[[#This Row],[Days Left]]&lt;=2,"Due Soon","On Track")))</f>
        <v>Due Soon</v>
      </c>
      <c r="I8" s="46" t="s">
        <v>63</v>
      </c>
    </row>
    <row r="9" spans="1:9" x14ac:dyDescent="0.45">
      <c r="A9" s="4" t="s">
        <v>23</v>
      </c>
      <c r="B9" s="46" t="s">
        <v>64</v>
      </c>
      <c r="C9" s="47">
        <v>46248</v>
      </c>
      <c r="D9" s="48">
        <v>1</v>
      </c>
      <c r="E9" s="4" t="s">
        <v>65</v>
      </c>
      <c r="F9" s="4" t="s">
        <v>66</v>
      </c>
      <c r="G9" s="49">
        <f ca="1">tblHomework[[#This Row],[Due Date]]-TODAY()</f>
        <v>12</v>
      </c>
      <c r="H9" s="4" t="str">
        <f>IF(tblHomework[[#This Row],[Status]]="Done","Complete",IF(tblHomework[[#This Row],[Days Left]]&lt;0,"Overdue",IF(tblHomework[[#This Row],[Days Left]]&lt;=2,"Due Soon","On Track")))</f>
        <v>Complete</v>
      </c>
      <c r="I9" s="46" t="s">
        <v>67</v>
      </c>
    </row>
    <row r="10" spans="1:9" x14ac:dyDescent="0.45">
      <c r="A10" s="4" t="s">
        <v>26</v>
      </c>
      <c r="B10" s="46" t="s">
        <v>68</v>
      </c>
      <c r="C10" s="47">
        <v>46240</v>
      </c>
      <c r="D10" s="48">
        <v>0.75</v>
      </c>
      <c r="E10" s="4" t="s">
        <v>53</v>
      </c>
      <c r="F10" s="4" t="s">
        <v>66</v>
      </c>
      <c r="G10" s="49">
        <f ca="1">tblHomework[[#This Row],[Due Date]]-TODAY()</f>
        <v>4</v>
      </c>
      <c r="H10" s="4" t="str">
        <f ca="1">IF(tblHomework[[#This Row],[Status]]="Done","Complete",IF(tblHomework[[#This Row],[Days Left]]&lt;0,"Overdue",IF(tblHomework[[#This Row],[Days Left]]&lt;=2,"Due Soon","On Track")))</f>
        <v>On Track</v>
      </c>
      <c r="I10" s="46" t="s">
        <v>69</v>
      </c>
    </row>
    <row r="11" spans="1:9" x14ac:dyDescent="0.45">
      <c r="A11" s="4" t="s">
        <v>28</v>
      </c>
      <c r="B11" s="46" t="s">
        <v>70</v>
      </c>
      <c r="C11" s="47">
        <v>46239</v>
      </c>
      <c r="D11" s="48">
        <v>0.5</v>
      </c>
      <c r="E11" s="4" t="s">
        <v>57</v>
      </c>
      <c r="F11" s="4" t="s">
        <v>60</v>
      </c>
      <c r="G11" s="49">
        <f ca="1">tblHomework[[#This Row],[Due Date]]-TODAY()</f>
        <v>3</v>
      </c>
      <c r="H11" s="4" t="str">
        <f ca="1">IF(tblHomework[[#This Row],[Status]]="Done","Complete",IF(tblHomework[[#This Row],[Days Left]]&lt;0,"Overdue",IF(tblHomework[[#This Row],[Days Left]]&lt;=2,"Due Soon","On Track")))</f>
        <v>On Track</v>
      </c>
      <c r="I11" s="46" t="s">
        <v>71</v>
      </c>
    </row>
    <row r="12" spans="1:9" x14ac:dyDescent="0.45">
      <c r="A12" s="4"/>
      <c r="B12" s="4"/>
      <c r="C12" s="4"/>
      <c r="D12" s="4"/>
      <c r="E12" s="4"/>
      <c r="F12" s="4"/>
      <c r="G12" s="4"/>
      <c r="H12" s="4"/>
      <c r="I12" s="4"/>
    </row>
    <row r="13" spans="1:9" x14ac:dyDescent="0.45">
      <c r="A13" s="4"/>
      <c r="B13" s="4"/>
      <c r="C13" s="4"/>
      <c r="D13" s="4"/>
      <c r="E13" s="4"/>
      <c r="F13" s="4"/>
      <c r="G13" s="4"/>
      <c r="H13" s="4"/>
      <c r="I13" s="4"/>
    </row>
    <row r="14" spans="1:9" x14ac:dyDescent="0.45">
      <c r="A14" s="8" t="s">
        <v>72</v>
      </c>
      <c r="B14" s="2"/>
      <c r="C14" s="2"/>
      <c r="D14" s="4"/>
      <c r="E14" s="4"/>
      <c r="F14" s="4"/>
      <c r="G14" s="4"/>
      <c r="H14" s="4"/>
      <c r="I14" s="4"/>
    </row>
    <row r="15" spans="1:9" x14ac:dyDescent="0.45">
      <c r="A15" s="50" t="s">
        <v>73</v>
      </c>
      <c r="B15" s="50" t="s">
        <v>74</v>
      </c>
      <c r="C15" s="4"/>
      <c r="D15" s="4"/>
      <c r="E15" s="4"/>
      <c r="F15" s="4"/>
      <c r="G15" s="4"/>
      <c r="H15" s="4"/>
      <c r="I15" s="4"/>
    </row>
    <row r="16" spans="1:9" x14ac:dyDescent="0.45">
      <c r="A16" s="4" t="s">
        <v>75</v>
      </c>
      <c r="B16" s="48">
        <f>COUNTIF(tblHomework[Status],"&lt;&gt;Done")</f>
        <v>6</v>
      </c>
      <c r="C16" s="4"/>
      <c r="D16" s="4"/>
      <c r="E16" s="4"/>
      <c r="F16" s="4"/>
      <c r="G16" s="4"/>
      <c r="H16" s="4"/>
      <c r="I16" s="4"/>
    </row>
    <row r="17" spans="1:9" x14ac:dyDescent="0.45">
      <c r="A17" s="4" t="s">
        <v>76</v>
      </c>
      <c r="B17" s="48">
        <f ca="1">COUNTIF(tblHomework[Alert],"Due Soon")</f>
        <v>2</v>
      </c>
      <c r="C17" s="4"/>
      <c r="D17" s="4"/>
      <c r="E17" s="4"/>
      <c r="F17" s="4"/>
      <c r="G17" s="4"/>
      <c r="H17" s="4"/>
      <c r="I17" s="4"/>
    </row>
    <row r="18" spans="1:9" x14ac:dyDescent="0.45">
      <c r="A18" s="4" t="s">
        <v>77</v>
      </c>
      <c r="B18" s="48">
        <f>SUM(tblHomework[Estimated Hours])</f>
        <v>7.75</v>
      </c>
      <c r="C18" s="4"/>
      <c r="D18" s="4"/>
      <c r="E18" s="4"/>
      <c r="F18" s="4"/>
      <c r="G18" s="4"/>
      <c r="H18" s="4"/>
      <c r="I18" s="4"/>
    </row>
  </sheetData>
  <mergeCells count="3">
    <mergeCell ref="A1:I1"/>
    <mergeCell ref="A2:I2"/>
    <mergeCell ref="A14:C14"/>
  </mergeCells>
  <conditionalFormatting sqref="H5:H11">
    <cfRule type="containsText" dxfId="21" priority="1" operator="containsText" text="Overdue">
      <formula>NOT(ISERROR(SEARCH("Overdue",H5)))</formula>
    </cfRule>
  </conditionalFormatting>
  <conditionalFormatting sqref="H5:H11">
    <cfRule type="containsText" dxfId="20" priority="2" operator="containsText" text="Due Soon">
      <formula>NOT(ISERROR(SEARCH("Due Soon",H5)))</formula>
    </cfRule>
  </conditionalFormatting>
  <conditionalFormatting sqref="H5:H11">
    <cfRule type="containsText" dxfId="19" priority="3" operator="containsText" text="Complete">
      <formula>NOT(ISERROR(SEARCH("Complete",H5)))</formula>
    </cfRule>
  </conditionalFormatting>
  <dataValidations count="2">
    <dataValidation type="list" allowBlank="1" showInputMessage="1" showErrorMessage="1" sqref="E5:E11" xr:uid="{A1CFB6F3-57CE-4A18-9125-60684F22B401}">
      <formula1>"Not Started,In Progress,Done"</formula1>
    </dataValidation>
    <dataValidation type="list" allowBlank="1" showInputMessage="1" showErrorMessage="1" sqref="F5:F11" xr:uid="{B635140A-970A-4800-A2FD-A7837F9A9815}">
      <formula1>"High,Medium,Low"</formula1>
    </dataValidation>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E8BCB-7860-485A-AF06-073624138FDD}">
  <dimension ref="A1:H17"/>
  <sheetViews>
    <sheetView workbookViewId="0">
      <selection activeCell="E15" sqref="E15"/>
    </sheetView>
  </sheetViews>
  <sheetFormatPr defaultRowHeight="14.25" x14ac:dyDescent="0.45"/>
  <cols>
    <col min="1" max="5" width="16.86328125" customWidth="1"/>
    <col min="6" max="6" width="35.53125" customWidth="1"/>
    <col min="7" max="8" width="18.6640625" customWidth="1"/>
  </cols>
  <sheetData>
    <row r="1" spans="1:8" ht="23.25" x14ac:dyDescent="0.45">
      <c r="A1" s="31" t="s">
        <v>8</v>
      </c>
      <c r="B1" s="31"/>
      <c r="C1" s="31"/>
      <c r="D1" s="31"/>
      <c r="E1" s="31"/>
      <c r="F1" s="31"/>
      <c r="G1" s="4"/>
      <c r="H1" s="4"/>
    </row>
    <row r="2" spans="1:8" x14ac:dyDescent="0.45">
      <c r="A2" s="3" t="s">
        <v>78</v>
      </c>
      <c r="B2" s="3"/>
      <c r="C2" s="3"/>
      <c r="D2" s="3"/>
      <c r="E2" s="3"/>
      <c r="F2" s="3"/>
      <c r="G2" s="4"/>
      <c r="H2" s="4"/>
    </row>
    <row r="3" spans="1:8" x14ac:dyDescent="0.45">
      <c r="A3" s="4"/>
      <c r="B3" s="4"/>
      <c r="C3" s="4"/>
      <c r="D3" s="4"/>
      <c r="E3" s="4"/>
      <c r="F3" s="4"/>
      <c r="G3" s="4"/>
      <c r="H3" s="4"/>
    </row>
    <row r="4" spans="1:8" x14ac:dyDescent="0.45">
      <c r="A4" s="4" t="s">
        <v>39</v>
      </c>
      <c r="B4" s="4" t="s">
        <v>79</v>
      </c>
      <c r="C4" s="4" t="s">
        <v>80</v>
      </c>
      <c r="D4" s="4" t="s">
        <v>81</v>
      </c>
      <c r="E4" s="4" t="s">
        <v>82</v>
      </c>
      <c r="F4" s="4" t="s">
        <v>83</v>
      </c>
      <c r="G4" s="4"/>
      <c r="H4" s="4"/>
    </row>
    <row r="5" spans="1:8" x14ac:dyDescent="0.45">
      <c r="A5" s="4" t="s">
        <v>20</v>
      </c>
      <c r="B5" s="51">
        <v>0.25</v>
      </c>
      <c r="C5" s="51">
        <v>0.86</v>
      </c>
      <c r="D5" s="51">
        <v>0.9</v>
      </c>
      <c r="E5" s="51">
        <f>tblGrades[[#This Row],[Target Score]]-tblGrades[[#This Row],[Current Score]]</f>
        <v>4.0000000000000036E-2</v>
      </c>
      <c r="F5" s="46" t="s">
        <v>84</v>
      </c>
      <c r="G5" s="4"/>
      <c r="H5" s="4"/>
    </row>
    <row r="6" spans="1:8" x14ac:dyDescent="0.45">
      <c r="A6" s="4" t="s">
        <v>21</v>
      </c>
      <c r="B6" s="51">
        <v>0.2</v>
      </c>
      <c r="C6" s="51">
        <v>0.82</v>
      </c>
      <c r="D6" s="51">
        <v>0.88</v>
      </c>
      <c r="E6" s="51">
        <f>tblGrades[[#This Row],[Target Score]]-tblGrades[[#This Row],[Current Score]]</f>
        <v>6.0000000000000053E-2</v>
      </c>
      <c r="F6" s="46" t="s">
        <v>85</v>
      </c>
      <c r="G6" s="4"/>
      <c r="H6" s="4"/>
    </row>
    <row r="7" spans="1:8" x14ac:dyDescent="0.45">
      <c r="A7" s="4" t="s">
        <v>22</v>
      </c>
      <c r="B7" s="51">
        <v>0.2</v>
      </c>
      <c r="C7" s="51">
        <v>0.91</v>
      </c>
      <c r="D7" s="51">
        <v>0.92</v>
      </c>
      <c r="E7" s="51">
        <f>tblGrades[[#This Row],[Target Score]]-tblGrades[[#This Row],[Current Score]]</f>
        <v>1.0000000000000009E-2</v>
      </c>
      <c r="F7" s="46" t="s">
        <v>86</v>
      </c>
      <c r="G7" s="4"/>
      <c r="H7" s="4"/>
    </row>
    <row r="8" spans="1:8" x14ac:dyDescent="0.45">
      <c r="A8" s="4" t="s">
        <v>25</v>
      </c>
      <c r="B8" s="51">
        <v>0.15</v>
      </c>
      <c r="C8" s="51">
        <v>0.78</v>
      </c>
      <c r="D8" s="51">
        <v>0.85</v>
      </c>
      <c r="E8" s="51">
        <f>tblGrades[[#This Row],[Target Score]]-tblGrades[[#This Row],[Current Score]]</f>
        <v>6.9999999999999951E-2</v>
      </c>
      <c r="F8" s="46" t="s">
        <v>87</v>
      </c>
      <c r="G8" s="4"/>
      <c r="H8" s="4"/>
    </row>
    <row r="9" spans="1:8" x14ac:dyDescent="0.45">
      <c r="A9" s="4" t="s">
        <v>23</v>
      </c>
      <c r="B9" s="51">
        <v>0.1</v>
      </c>
      <c r="C9" s="51">
        <v>0.95</v>
      </c>
      <c r="D9" s="51">
        <v>0.95</v>
      </c>
      <c r="E9" s="51">
        <f>tblGrades[[#This Row],[Target Score]]-tblGrades[[#This Row],[Current Score]]</f>
        <v>0</v>
      </c>
      <c r="F9" s="46" t="s">
        <v>88</v>
      </c>
      <c r="G9" s="4"/>
      <c r="H9" s="4"/>
    </row>
    <row r="10" spans="1:8" x14ac:dyDescent="0.45">
      <c r="A10" s="4" t="s">
        <v>28</v>
      </c>
      <c r="B10" s="51">
        <v>0.1</v>
      </c>
      <c r="C10" s="51">
        <v>0.88</v>
      </c>
      <c r="D10" s="51">
        <v>0.9</v>
      </c>
      <c r="E10" s="51">
        <f>tblGrades[[#This Row],[Target Score]]-tblGrades[[#This Row],[Current Score]]</f>
        <v>2.0000000000000018E-2</v>
      </c>
      <c r="F10" s="46" t="s">
        <v>89</v>
      </c>
      <c r="G10" s="4"/>
      <c r="H10" s="4"/>
    </row>
    <row r="11" spans="1:8" x14ac:dyDescent="0.45">
      <c r="A11" s="4"/>
      <c r="B11" s="4"/>
      <c r="C11" s="4"/>
      <c r="D11" s="4"/>
      <c r="E11" s="4"/>
      <c r="F11" s="4"/>
      <c r="G11" s="4"/>
      <c r="H11" s="4"/>
    </row>
    <row r="12" spans="1:8" x14ac:dyDescent="0.45">
      <c r="A12" s="4"/>
      <c r="B12" s="4"/>
      <c r="C12" s="4"/>
      <c r="D12" s="4"/>
      <c r="E12" s="4"/>
      <c r="F12" s="4"/>
      <c r="G12" s="4"/>
      <c r="H12" s="4"/>
    </row>
    <row r="13" spans="1:8" x14ac:dyDescent="0.45">
      <c r="A13" s="8" t="s">
        <v>90</v>
      </c>
      <c r="B13" s="2"/>
      <c r="C13" s="2"/>
      <c r="D13" s="2"/>
      <c r="E13" s="4"/>
      <c r="F13" s="4"/>
      <c r="G13" s="4"/>
      <c r="H13" s="4"/>
    </row>
    <row r="14" spans="1:8" x14ac:dyDescent="0.45">
      <c r="A14" s="50" t="s">
        <v>73</v>
      </c>
      <c r="B14" s="50" t="s">
        <v>74</v>
      </c>
      <c r="C14" s="4"/>
      <c r="D14" s="50" t="s">
        <v>94</v>
      </c>
      <c r="E14" s="50" t="s">
        <v>95</v>
      </c>
      <c r="F14" s="50" t="s">
        <v>96</v>
      </c>
      <c r="G14" s="4"/>
      <c r="H14" s="4"/>
    </row>
    <row r="15" spans="1:8" x14ac:dyDescent="0.45">
      <c r="A15" s="4" t="s">
        <v>91</v>
      </c>
      <c r="B15" s="51">
        <f>SUMPRODUCT(tblGrades[Weight],tblGrades[Current Score])</f>
        <v>0.86099999999999999</v>
      </c>
      <c r="C15" s="4"/>
      <c r="D15" s="4" t="s">
        <v>97</v>
      </c>
      <c r="E15" s="4" t="str">
        <f>INDEX(tblGrades[Subject],MATCH(MAX(tblGrades[Gap to Target]),tblGrades[Gap to Target],0))</f>
        <v>Reading</v>
      </c>
      <c r="F15" s="46" t="s">
        <v>98</v>
      </c>
      <c r="G15" s="4"/>
      <c r="H15" s="4"/>
    </row>
    <row r="16" spans="1:8" x14ac:dyDescent="0.45">
      <c r="A16" s="4" t="s">
        <v>92</v>
      </c>
      <c r="B16" s="51">
        <f>SUMPRODUCT(tblGrades[Weight],tblGrades[Target Score])</f>
        <v>0.89750000000000008</v>
      </c>
      <c r="C16" s="4"/>
      <c r="D16" s="4" t="s">
        <v>99</v>
      </c>
      <c r="E16" s="4" t="str">
        <f>INDEX(tblGrades[Subject],MATCH(MAX(tblGrades[Current Score]),tblGrades[Current Score],0))</f>
        <v>Art</v>
      </c>
      <c r="F16" s="46" t="s">
        <v>100</v>
      </c>
      <c r="G16" s="4"/>
      <c r="H16" s="4"/>
    </row>
    <row r="17" spans="1:8" x14ac:dyDescent="0.45">
      <c r="A17" s="4" t="s">
        <v>93</v>
      </c>
      <c r="B17" s="51">
        <f>B16-B15</f>
        <v>3.6500000000000088E-2</v>
      </c>
      <c r="C17" s="4"/>
      <c r="D17" s="4" t="s">
        <v>101</v>
      </c>
      <c r="E17" s="4" t="e">
        <f>TEXT(B17,"0.0%")</f>
        <v>#VALUE!</v>
      </c>
      <c r="F17" s="46" t="s">
        <v>102</v>
      </c>
      <c r="G17" s="4"/>
      <c r="H17" s="4"/>
    </row>
  </sheetData>
  <mergeCells count="3">
    <mergeCell ref="A13:D13"/>
    <mergeCell ref="A1:F1"/>
    <mergeCell ref="A2:F2"/>
  </mergeCells>
  <conditionalFormatting sqref="E5:E10">
    <cfRule type="dataBar" priority="1">
      <dataBar>
        <cfvo type="min"/>
        <cfvo type="max"/>
        <color rgb="FF638EC6"/>
      </dataBar>
      <extLst>
        <ext xmlns:x14="http://schemas.microsoft.com/office/spreadsheetml/2009/9/main" uri="{B025F937-C7B1-47D3-B67F-A62EFF666E3E}">
          <x14:id>{6C97EC2E-8916-4E51-8E76-5F774396C76F}</x14:id>
        </ext>
      </extLst>
    </cfRule>
  </conditionalFormatting>
  <pageMargins left="0.7" right="0.7" top="0.78740157499999996" bottom="0.78740157499999996"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C97EC2E-8916-4E51-8E76-5F774396C76F}">
            <x14:dataBar minLength="0" maxLength="100" direction="leftToRight" negativeBarColorSameAsPositive="1" axisPosition="none">
              <x14:cfvo type="min"/>
              <x14:cfvo type="max"/>
            </x14:dataBar>
          </x14:cfRule>
          <xm:sqref>E5:E10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4</vt:i4>
      </vt:variant>
    </vt:vector>
  </HeadingPairs>
  <TitlesOfParts>
    <vt:vector size="4" baseType="lpstr">
      <vt:lpstr>Cover</vt:lpstr>
      <vt:lpstr>Weekly Timetable</vt:lpstr>
      <vt:lpstr>Homework Tracker</vt:lpstr>
      <vt:lpstr>Grade Planner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Melka</dc:creator>
  <cp:lastModifiedBy>Jakub Melka</cp:lastModifiedBy>
  <dcterms:created xsi:type="dcterms:W3CDTF">2026-08-02T14:46:39Z</dcterms:created>
  <dcterms:modified xsi:type="dcterms:W3CDTF">2026-08-02T14:55:55Z</dcterms:modified>
</cp:coreProperties>
</file>