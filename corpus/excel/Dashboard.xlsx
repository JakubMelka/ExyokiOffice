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Programming\EverydayOffice\EverydayOffice2\corpus\excel\"/>
    </mc:Choice>
  </mc:AlternateContent>
  <xr:revisionPtr revIDLastSave="0" documentId="8_{B95521DA-EDA0-4C7E-9AE0-98CFDE17296D}" xr6:coauthVersionLast="47" xr6:coauthVersionMax="47" xr10:uidLastSave="{00000000-0000-0000-0000-000000000000}"/>
  <bookViews>
    <workbookView xWindow="-98" yWindow="-98" windowWidth="28996" windowHeight="15675" xr2:uid="{9DB64E6A-A095-455E-80CB-817095EC443E}"/>
  </bookViews>
  <sheets>
    <sheet name="Dashboard" sheetId="1" r:id="rId1"/>
    <sheet name="Sales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8" i="1" l="1"/>
  <c r="B17" i="1"/>
  <c r="B16" i="1"/>
  <c r="B15" i="1"/>
  <c r="B14" i="1"/>
  <c r="B13" i="1"/>
  <c r="B12" i="1"/>
  <c r="E5" i="1"/>
  <c r="C5" i="1"/>
  <c r="A5" i="1"/>
  <c r="F13" i="2"/>
  <c r="F12" i="2"/>
  <c r="F11" i="2"/>
  <c r="F10" i="2"/>
  <c r="F9" i="2"/>
  <c r="F8" i="2"/>
  <c r="F7" i="2"/>
  <c r="F6" i="2"/>
  <c r="F5" i="2"/>
  <c r="F4" i="2"/>
  <c r="F3" i="2"/>
  <c r="F2" i="2"/>
</calcChain>
</file>

<file path=xl/sharedStrings.xml><?xml version="1.0" encoding="utf-8"?>
<sst xmlns="http://schemas.openxmlformats.org/spreadsheetml/2006/main" count="44" uniqueCount="20">
  <si>
    <t>Month</t>
  </si>
  <si>
    <t>Product</t>
  </si>
  <si>
    <t>Units</t>
  </si>
  <si>
    <t>Revenue</t>
  </si>
  <si>
    <t>Cost</t>
  </si>
  <si>
    <t>Gross Profit</t>
  </si>
  <si>
    <t>Jan</t>
  </si>
  <si>
    <t>Core</t>
  </si>
  <si>
    <t>Feb</t>
  </si>
  <si>
    <t>Mar</t>
  </si>
  <si>
    <t>Apr</t>
  </si>
  <si>
    <t>May</t>
  </si>
  <si>
    <t>Jun</t>
  </si>
  <si>
    <t>Premium</t>
  </si>
  <si>
    <t>Sample Sales Dashboard</t>
  </si>
  <si>
    <t>Example workbook in English with live formulas, a monthly revenue chart, and a short business story.</t>
  </si>
  <si>
    <t>Total Revenue</t>
  </si>
  <si>
    <t>Total Units</t>
  </si>
  <si>
    <t>Gross Margin</t>
  </si>
  <si>
    <t>Story in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</si>
</sst>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quot;USD &quot;#,##0"/>
  </numFmts>
  <fonts count="8" x14ac:knownFonts="1">
    <font>
      <sz val="11"/>
      <color theme="1"/>
      <name val="Aptos Narrow"/>
      <family val="2"/>
      <charset val="238"/>
      <scheme val="minor"/>
    </font>
    <font>
      <b/>
      <sz val="18"/>
      <color rgb="FFFFFFFF"/>
      <name val="Aptos"/>
    </font>
    <font>
      <sz val="11"/>
      <color theme="1"/>
      <name val="Aptos"/>
    </font>
    <font>
      <i/>
      <sz val="11"/>
      <color rgb="FF666666"/>
      <name val="Aptos"/>
    </font>
    <font>
      <b/>
      <sz val="11"/>
      <color theme="1"/>
      <name val="Aptos"/>
    </font>
    <font>
      <b/>
      <sz val="16"/>
      <color theme="1"/>
      <name val="Aptos"/>
    </font>
    <font>
      <b/>
      <sz val="11"/>
      <color rgb="FFFFFFFF"/>
      <name val="Aptos"/>
    </font>
    <font>
      <sz val="11"/>
      <color rgb="FF333333"/>
      <name val="Aptos"/>
    </font>
  </fonts>
  <fills count="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7FBFE"/>
        <bgColor indexed="64"/>
      </patternFill>
    </fill>
    <fill>
      <patternFill patternType="solid">
        <fgColor rgb="FF5B9B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E6E6E6"/>
      </bottom>
      <diagonal/>
    </border>
  </borders>
  <cellStyleXfs count="1">
    <xf numFmtId="0" fontId="0" fillId="0" borderId="0"/>
  </cellStyleXfs>
  <cellXfs count="20">
    <xf numFmtId="0" fontId="0" fillId="0" borderId="0" xfId="0"/>
    <xf numFmtId="0" fontId="2" fillId="0" borderId="0" xfId="0" applyFont="1"/>
    <xf numFmtId="0" fontId="6" fillId="2" borderId="1" xfId="0" applyFont="1" applyFill="1" applyBorder="1"/>
    <xf numFmtId="0" fontId="2" fillId="0" borderId="1" xfId="0" applyFont="1" applyBorder="1"/>
    <xf numFmtId="0" fontId="6" fillId="2" borderId="0" xfId="0" applyFont="1" applyFill="1"/>
    <xf numFmtId="3" fontId="2" fillId="0" borderId="0" xfId="0" applyNumberFormat="1" applyFont="1"/>
    <xf numFmtId="0" fontId="1" fillId="2" borderId="0" xfId="0" applyFont="1" applyFill="1" applyBorder="1"/>
    <xf numFmtId="0" fontId="2" fillId="0" borderId="0" xfId="0" applyFont="1" applyBorder="1"/>
    <xf numFmtId="0" fontId="3" fillId="0" borderId="0" xfId="0" applyFont="1" applyBorder="1" applyAlignment="1">
      <alignment wrapText="1"/>
    </xf>
    <xf numFmtId="0" fontId="2" fillId="0" borderId="0" xfId="0" applyFont="1" applyBorder="1"/>
    <xf numFmtId="0" fontId="4" fillId="3" borderId="0" xfId="0" applyFont="1" applyFill="1" applyBorder="1"/>
    <xf numFmtId="0" fontId="5" fillId="4" borderId="0" xfId="0" applyFont="1" applyFill="1" applyBorder="1"/>
    <xf numFmtId="3" fontId="5" fillId="4" borderId="0" xfId="0" applyNumberFormat="1" applyFont="1" applyFill="1" applyBorder="1"/>
    <xf numFmtId="165" fontId="5" fillId="4" borderId="0" xfId="0" applyNumberFormat="1" applyFont="1" applyFill="1" applyBorder="1"/>
    <xf numFmtId="0" fontId="6" fillId="5" borderId="0" xfId="0" applyFont="1" applyFill="1" applyBorder="1"/>
    <xf numFmtId="0" fontId="7" fillId="0" borderId="0" xfId="0" applyFont="1" applyBorder="1" applyAlignment="1">
      <alignment wrapText="1"/>
    </xf>
    <xf numFmtId="0" fontId="2" fillId="0" borderId="2" xfId="0" applyFont="1" applyBorder="1"/>
    <xf numFmtId="166" fontId="5" fillId="4" borderId="0" xfId="0" applyNumberFormat="1" applyFont="1" applyFill="1" applyBorder="1"/>
    <xf numFmtId="166" fontId="2" fillId="0" borderId="1" xfId="0" applyNumberFormat="1" applyFont="1" applyBorder="1"/>
    <xf numFmtId="166" fontId="2" fillId="0" borderId="0" xfId="0" applyNumberFormat="1" applyFont="1"/>
  </cellXfs>
  <cellStyles count="1">
    <cellStyle name="Normální" xfId="0" builtinId="0"/>
  </cellStyles>
  <dxfs count="8">
    <dxf>
      <font>
        <name val="Aptos"/>
      </font>
      <numFmt numFmtId="166" formatCode="&quot;USD &quot;#,##0"/>
    </dxf>
    <dxf>
      <font>
        <name val="Aptos"/>
      </font>
      <numFmt numFmtId="166" formatCode="&quot;USD &quot;#,##0"/>
    </dxf>
    <dxf>
      <font>
        <name val="Aptos"/>
      </font>
      <numFmt numFmtId="166" formatCode="&quot;USD &quot;#,##0"/>
    </dxf>
    <dxf>
      <font>
        <name val="Aptos"/>
      </font>
    </dxf>
    <dxf>
      <font>
        <b/>
        <color rgb="FFFFFFFF"/>
        <name val="Aptos"/>
      </font>
      <fill>
        <patternFill patternType="solid">
          <fgColor indexed="64"/>
          <bgColor rgb="FF1F4E78"/>
        </patternFill>
      </fill>
    </dxf>
    <dxf>
      <font>
        <name val="Aptos"/>
      </font>
      <numFmt numFmtId="3" formatCode="#,##0"/>
    </dxf>
    <dxf>
      <font>
        <name val="Aptos"/>
      </font>
    </dxf>
    <dxf>
      <font>
        <name val="Aptos"/>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barChart>
        <c:barDir val="col"/>
        <c:grouping val="clustered"/>
        <c:varyColors val="0"/>
        <c:ser>
          <c:idx val="0"/>
          <c:order val="0"/>
          <c:tx>
            <c:strRef>
              <c:f>Dashboard!$B$11</c:f>
              <c:strCache>
                <c:ptCount val="1"/>
                <c:pt idx="0">
                  <c:v>Revenue</c:v>
                </c:pt>
              </c:strCache>
            </c:strRef>
          </c:tx>
          <c:spPr>
            <a:solidFill>
              <a:schemeClr val="accent1"/>
            </a:solidFill>
            <a:ln>
              <a:noFill/>
            </a:ln>
            <a:effectLst/>
          </c:spPr>
          <c:invertIfNegative val="0"/>
          <c:dLbls>
            <c:numFmt formatCode="&quot;USD &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Dashboard!$A$12:$A$17</c:f>
              <c:strCache>
                <c:ptCount val="6"/>
                <c:pt idx="0">
                  <c:v>Jan</c:v>
                </c:pt>
                <c:pt idx="1">
                  <c:v>Feb</c:v>
                </c:pt>
                <c:pt idx="2">
                  <c:v>Mar</c:v>
                </c:pt>
                <c:pt idx="3">
                  <c:v>Apr</c:v>
                </c:pt>
                <c:pt idx="4">
                  <c:v>May</c:v>
                </c:pt>
                <c:pt idx="5">
                  <c:v>Jun</c:v>
                </c:pt>
              </c:strCache>
            </c:strRef>
          </c:cat>
          <c:val>
            <c:numRef>
              <c:f>Dashboard!$B$12:$B$17</c:f>
              <c:numCache>
                <c:formatCode>"USD "#\ ##0</c:formatCode>
                <c:ptCount val="6"/>
                <c:pt idx="0">
                  <c:v>42000</c:v>
                </c:pt>
                <c:pt idx="1">
                  <c:v>47500</c:v>
                </c:pt>
                <c:pt idx="2">
                  <c:v>54600</c:v>
                </c:pt>
                <c:pt idx="3">
                  <c:v>60500</c:v>
                </c:pt>
                <c:pt idx="4">
                  <c:v>70000</c:v>
                </c:pt>
                <c:pt idx="5">
                  <c:v>81100</c:v>
                </c:pt>
              </c:numCache>
            </c:numRef>
          </c:val>
          <c:extLst>
            <c:ext xmlns:c16="http://schemas.microsoft.com/office/drawing/2014/chart" uri="{C3380CC4-5D6E-409C-BE32-E72D297353CC}">
              <c16:uniqueId val="{00000000-C2E0-4169-9F4F-ACD4ABFA054D}"/>
            </c:ext>
          </c:extLst>
        </c:ser>
        <c:dLbls>
          <c:showLegendKey val="0"/>
          <c:showVal val="0"/>
          <c:showCatName val="0"/>
          <c:showSerName val="0"/>
          <c:showPercent val="0"/>
          <c:showBubbleSize val="0"/>
        </c:dLbls>
        <c:gapWidth val="219"/>
        <c:overlap val="-27"/>
        <c:axId val="1507446095"/>
        <c:axId val="1506167471"/>
      </c:barChart>
      <c:catAx>
        <c:axId val="15074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506167471"/>
        <c:crosses val="autoZero"/>
        <c:auto val="1"/>
        <c:lblAlgn val="ctr"/>
        <c:lblOffset val="100"/>
        <c:noMultiLvlLbl val="0"/>
      </c:catAx>
      <c:valAx>
        <c:axId val="150616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quot;USD &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5074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10</xdr:row>
      <xdr:rowOff>0</xdr:rowOff>
    </xdr:from>
    <xdr:to>
      <xdr:col>8</xdr:col>
      <xdr:colOff>0</xdr:colOff>
      <xdr:row>26</xdr:row>
      <xdr:rowOff>0</xdr:rowOff>
    </xdr:to>
    <xdr:graphicFrame macro="">
      <xdr:nvGraphicFramePr>
        <xdr:cNvPr id="2" name="Monthly Revenue Chart">
          <a:extLst>
            <a:ext uri="{FF2B5EF4-FFF2-40B4-BE49-F238E27FC236}">
              <a16:creationId xmlns:a16="http://schemas.microsoft.com/office/drawing/2014/main" id="{4A88DD3D-DC9C-B5C5-6DB2-1F26CF7BA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556CF-61AE-4811-A784-6093B9276E08}" name="SalesTable" displayName="SalesTable" ref="A1:F13" totalsRowShown="0" headerRowDxfId="4" dataDxfId="3">
  <autoFilter ref="A1:F13" xr:uid="{D54556CF-61AE-4811-A784-6093B9276E08}"/>
  <tableColumns count="6">
    <tableColumn id="1" xr3:uid="{BC964338-5775-4BF1-B4F1-8BC3CDC6F691}" name="Month" dataDxfId="7"/>
    <tableColumn id="2" xr3:uid="{71A8083A-25B0-4A3A-BC47-1AD0BBC4BD09}" name="Product" dataDxfId="6"/>
    <tableColumn id="3" xr3:uid="{EB2D9C26-2459-4EAE-9C28-CAF24CE0F0EE}" name="Units" dataDxfId="5"/>
    <tableColumn id="4" xr3:uid="{21445A21-34FD-43F0-8AD8-F3DF6DE46DD8}" name="Revenue" dataDxfId="2"/>
    <tableColumn id="5" xr3:uid="{0B8955B5-A3FF-4FFF-A071-4197CFF67AE3}" name="Cost" dataDxfId="1"/>
    <tableColumn id="6" xr3:uid="{20DC92C5-9CF2-41E5-9253-716B271B0244}" name="Gross Profit" dataDxfId="0">
      <calculatedColumnFormula>SalesTable[[#This Row],[Revenue]]-SalesTable[[#This Row],[Cost]]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AD75-1913-456A-AEBA-87ECC63515B4}">
  <dimension ref="A1:H26"/>
  <sheetViews>
    <sheetView tabSelected="1" workbookViewId="0">
      <selection sqref="A1:H1"/>
    </sheetView>
  </sheetViews>
  <sheetFormatPr defaultRowHeight="14.25" x14ac:dyDescent="0.45"/>
  <cols>
    <col min="1" max="1" width="6.3984375" style="1" bestFit="1" customWidth="1"/>
    <col min="2" max="2" width="10.265625" style="1" bestFit="1" customWidth="1"/>
    <col min="3" max="8" width="14.19921875" style="1" customWidth="1"/>
  </cols>
  <sheetData>
    <row r="1" spans="1:8" ht="32" customHeight="1" x14ac:dyDescent="0.7">
      <c r="A1" s="6" t="s">
        <v>14</v>
      </c>
      <c r="B1" s="7"/>
      <c r="C1" s="7"/>
      <c r="D1" s="7"/>
      <c r="E1" s="7"/>
      <c r="F1" s="7"/>
      <c r="G1" s="7"/>
      <c r="H1" s="7"/>
    </row>
    <row r="2" spans="1:8" x14ac:dyDescent="0.45">
      <c r="A2" s="8" t="s">
        <v>15</v>
      </c>
      <c r="B2" s="7"/>
      <c r="C2" s="7"/>
      <c r="D2" s="7"/>
      <c r="E2" s="7"/>
      <c r="F2" s="7"/>
      <c r="G2" s="7"/>
      <c r="H2" s="7"/>
    </row>
    <row r="3" spans="1:8" x14ac:dyDescent="0.45">
      <c r="A3" s="9"/>
      <c r="B3" s="9"/>
      <c r="C3" s="9"/>
      <c r="D3" s="9"/>
      <c r="E3" s="9"/>
      <c r="F3" s="9"/>
      <c r="G3" s="9"/>
      <c r="H3" s="9"/>
    </row>
    <row r="4" spans="1:8" x14ac:dyDescent="0.45">
      <c r="A4" s="10" t="s">
        <v>16</v>
      </c>
      <c r="B4" s="10"/>
      <c r="C4" s="10" t="s">
        <v>17</v>
      </c>
      <c r="D4" s="10"/>
      <c r="E4" s="10" t="s">
        <v>18</v>
      </c>
      <c r="F4" s="10"/>
      <c r="G4" s="9"/>
      <c r="H4" s="9"/>
    </row>
    <row r="5" spans="1:8" ht="30" customHeight="1" x14ac:dyDescent="0.65">
      <c r="A5" s="17">
        <f>SUM(SalesTable[Revenue])</f>
        <v>355700</v>
      </c>
      <c r="B5" s="11"/>
      <c r="C5" s="12">
        <f>SUM(SalesTable[Units])</f>
        <v>1290</v>
      </c>
      <c r="D5" s="11"/>
      <c r="E5" s="13">
        <f>SUM(SalesTable[Gross Profit])/SUM(SalesTable[Revenue])</f>
        <v>0.46780995220691596</v>
      </c>
      <c r="F5" s="11"/>
      <c r="G5" s="9"/>
      <c r="H5" s="9"/>
    </row>
    <row r="6" spans="1:8" x14ac:dyDescent="0.45">
      <c r="A6" s="9"/>
      <c r="B6" s="9"/>
      <c r="C6" s="9"/>
      <c r="D6" s="9"/>
      <c r="E6" s="9"/>
      <c r="F6" s="9"/>
      <c r="G6" s="9"/>
      <c r="H6" s="9"/>
    </row>
    <row r="7" spans="1:8" x14ac:dyDescent="0.45">
      <c r="A7" s="14" t="s">
        <v>19</v>
      </c>
      <c r="B7" s="7"/>
      <c r="C7" s="7"/>
      <c r="D7" s="7"/>
      <c r="E7" s="7"/>
      <c r="F7" s="7"/>
      <c r="G7" s="7"/>
      <c r="H7" s="7"/>
    </row>
    <row r="8" spans="1:8" ht="36" customHeight="1" x14ac:dyDescent="0.45">
      <c r="A8" s="15" t="str">
        <f>_xlfn.CONCAT("USD ",ROUND(SUM(SalesTable[Revenue]),0)," in sample revenue was generated across ",SUM(SalesTable[Units])," units. Premium revenue grows through the period, while Core remains the volume anchor. The chart below is connected to live formulas, so changing the Sales Data table updates the dashboard automatically.")</f>
        <v>USD 355700 in sample revenue was generated across 1290 units. Premium revenue grows through the period, while Core remains the volume anchor. The chart below is connected to live formulas, so changing the Sales Data table updates the dashboard automatically.</v>
      </c>
      <c r="B8" s="7"/>
      <c r="C8" s="7"/>
      <c r="D8" s="7"/>
      <c r="E8" s="7"/>
      <c r="F8" s="7"/>
      <c r="G8" s="7"/>
      <c r="H8" s="7"/>
    </row>
    <row r="9" spans="1:8" ht="36" customHeight="1" x14ac:dyDescent="0.45">
      <c r="A9" s="7"/>
      <c r="B9" s="7"/>
      <c r="C9" s="7"/>
      <c r="D9" s="7"/>
      <c r="E9" s="7"/>
      <c r="F9" s="7"/>
      <c r="G9" s="7"/>
      <c r="H9" s="7"/>
    </row>
    <row r="10" spans="1:8" x14ac:dyDescent="0.45">
      <c r="A10" s="9"/>
      <c r="B10" s="9"/>
      <c r="C10" s="9"/>
      <c r="D10" s="9"/>
      <c r="E10" s="9"/>
      <c r="F10" s="9"/>
      <c r="G10" s="9"/>
      <c r="H10" s="9"/>
    </row>
    <row r="11" spans="1:8" x14ac:dyDescent="0.45">
      <c r="A11" s="2" t="s">
        <v>0</v>
      </c>
      <c r="B11" s="2" t="s">
        <v>3</v>
      </c>
      <c r="C11" s="9"/>
      <c r="D11" s="9"/>
      <c r="E11" s="9"/>
      <c r="F11" s="9"/>
      <c r="G11" s="9"/>
      <c r="H11" s="9"/>
    </row>
    <row r="12" spans="1:8" x14ac:dyDescent="0.45">
      <c r="A12" s="3" t="s">
        <v>6</v>
      </c>
      <c r="B12" s="18">
        <f>SUMIFS(SalesTable[Revenue],SalesTable[Month],A12)</f>
        <v>42000</v>
      </c>
      <c r="C12" s="9"/>
      <c r="D12" s="9"/>
      <c r="E12" s="9"/>
      <c r="F12" s="9"/>
      <c r="G12" s="9"/>
      <c r="H12" s="9"/>
    </row>
    <row r="13" spans="1:8" x14ac:dyDescent="0.45">
      <c r="A13" s="3" t="s">
        <v>8</v>
      </c>
      <c r="B13" s="18">
        <f>SUMIFS(SalesTable[Revenue],SalesTable[Month],A13)</f>
        <v>47500</v>
      </c>
      <c r="C13" s="9"/>
      <c r="D13" s="9"/>
      <c r="E13" s="9"/>
      <c r="F13" s="9"/>
      <c r="G13" s="9"/>
      <c r="H13" s="9"/>
    </row>
    <row r="14" spans="1:8" x14ac:dyDescent="0.45">
      <c r="A14" s="3" t="s">
        <v>9</v>
      </c>
      <c r="B14" s="18">
        <f>SUMIFS(SalesTable[Revenue],SalesTable[Month],A14)</f>
        <v>54600</v>
      </c>
      <c r="C14" s="9"/>
      <c r="D14" s="9"/>
      <c r="E14" s="9"/>
      <c r="F14" s="9"/>
      <c r="G14" s="9"/>
      <c r="H14" s="9"/>
    </row>
    <row r="15" spans="1:8" x14ac:dyDescent="0.45">
      <c r="A15" s="3" t="s">
        <v>10</v>
      </c>
      <c r="B15" s="18">
        <f>SUMIFS(SalesTable[Revenue],SalesTable[Month],A15)</f>
        <v>60500</v>
      </c>
      <c r="C15" s="9"/>
      <c r="D15" s="9"/>
      <c r="E15" s="9"/>
      <c r="F15" s="9"/>
      <c r="G15" s="9"/>
      <c r="H15" s="9"/>
    </row>
    <row r="16" spans="1:8" x14ac:dyDescent="0.45">
      <c r="A16" s="3" t="s">
        <v>11</v>
      </c>
      <c r="B16" s="18">
        <f>SUMIFS(SalesTable[Revenue],SalesTable[Month],A16)</f>
        <v>70000</v>
      </c>
      <c r="C16" s="9"/>
      <c r="D16" s="9"/>
      <c r="E16" s="9"/>
      <c r="F16" s="9"/>
      <c r="G16" s="9"/>
      <c r="H16" s="9"/>
    </row>
    <row r="17" spans="1:8" x14ac:dyDescent="0.45">
      <c r="A17" s="3" t="s">
        <v>12</v>
      </c>
      <c r="B17" s="18">
        <f>SUMIFS(SalesTable[Revenue],SalesTable[Month],A17)</f>
        <v>81100</v>
      </c>
      <c r="C17" s="9"/>
      <c r="D17" s="9"/>
      <c r="E17" s="9"/>
      <c r="F17" s="9"/>
      <c r="G17" s="9"/>
      <c r="H17" s="9"/>
    </row>
    <row r="18" spans="1:8" x14ac:dyDescent="0.45">
      <c r="A18" s="9"/>
      <c r="B18" s="9"/>
      <c r="C18" s="9"/>
      <c r="D18" s="9"/>
      <c r="E18" s="9"/>
      <c r="F18" s="9"/>
      <c r="G18" s="9"/>
      <c r="H18" s="9"/>
    </row>
    <row r="19" spans="1:8" x14ac:dyDescent="0.45">
      <c r="A19" s="9"/>
      <c r="B19" s="9"/>
      <c r="C19" s="9"/>
      <c r="D19" s="9"/>
      <c r="E19" s="9"/>
      <c r="F19" s="9"/>
      <c r="G19" s="9"/>
      <c r="H19" s="9"/>
    </row>
    <row r="20" spans="1:8" x14ac:dyDescent="0.45">
      <c r="A20" s="9"/>
      <c r="B20" s="9"/>
      <c r="C20" s="9"/>
      <c r="D20" s="9"/>
      <c r="E20" s="9"/>
      <c r="F20" s="9"/>
      <c r="G20" s="9"/>
      <c r="H20" s="9"/>
    </row>
    <row r="21" spans="1:8" x14ac:dyDescent="0.45">
      <c r="A21" s="9"/>
      <c r="B21" s="9"/>
      <c r="C21" s="9"/>
      <c r="D21" s="9"/>
      <c r="E21" s="9"/>
      <c r="F21" s="9"/>
      <c r="G21" s="9"/>
      <c r="H21" s="9"/>
    </row>
    <row r="22" spans="1:8" x14ac:dyDescent="0.45">
      <c r="A22" s="9"/>
      <c r="B22" s="9"/>
      <c r="C22" s="9"/>
      <c r="D22" s="9"/>
      <c r="E22" s="9"/>
      <c r="F22" s="9"/>
      <c r="G22" s="9"/>
      <c r="H22" s="9"/>
    </row>
    <row r="23" spans="1:8" x14ac:dyDescent="0.45">
      <c r="A23" s="9"/>
      <c r="B23" s="9"/>
      <c r="C23" s="9"/>
      <c r="D23" s="9"/>
      <c r="E23" s="9"/>
      <c r="F23" s="9"/>
      <c r="G23" s="9"/>
      <c r="H23" s="9"/>
    </row>
    <row r="24" spans="1:8" x14ac:dyDescent="0.45">
      <c r="A24" s="9"/>
      <c r="B24" s="9"/>
      <c r="C24" s="9"/>
      <c r="D24" s="9"/>
      <c r="E24" s="9"/>
      <c r="F24" s="9"/>
      <c r="G24" s="9"/>
      <c r="H24" s="9"/>
    </row>
    <row r="25" spans="1:8" x14ac:dyDescent="0.45">
      <c r="A25" s="9"/>
      <c r="B25" s="9"/>
      <c r="C25" s="9"/>
      <c r="D25" s="9"/>
      <c r="E25" s="9"/>
      <c r="F25" s="9"/>
      <c r="G25" s="9"/>
      <c r="H25" s="9"/>
    </row>
    <row r="26" spans="1:8" x14ac:dyDescent="0.45">
      <c r="A26" s="16"/>
      <c r="B26" s="16"/>
      <c r="C26" s="16"/>
      <c r="D26" s="16"/>
      <c r="E26" s="16"/>
      <c r="F26" s="16"/>
      <c r="G26" s="16"/>
      <c r="H26" s="16"/>
    </row>
  </sheetData>
  <mergeCells count="10">
    <mergeCell ref="A7:H7"/>
    <mergeCell ref="A8:H9"/>
    <mergeCell ref="A1:H1"/>
    <mergeCell ref="A2:H2"/>
    <mergeCell ref="A4:B4"/>
    <mergeCell ref="C4:D4"/>
    <mergeCell ref="E4:F4"/>
    <mergeCell ref="A5:B5"/>
    <mergeCell ref="C5:D5"/>
    <mergeCell ref="E5:F5"/>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3A85-9191-4294-B395-F4BA4B41EDE8}">
  <dimension ref="A1:F13"/>
  <sheetViews>
    <sheetView workbookViewId="0"/>
  </sheetViews>
  <sheetFormatPr defaultRowHeight="14.25" x14ac:dyDescent="0.45"/>
  <cols>
    <col min="1" max="1" width="8.59765625" style="1" bestFit="1" customWidth="1"/>
    <col min="2" max="2" width="10" style="1" bestFit="1" customWidth="1"/>
    <col min="3" max="3" width="7.59765625" style="1" bestFit="1" customWidth="1"/>
    <col min="4" max="4" width="10.53125" style="1" bestFit="1" customWidth="1"/>
    <col min="5" max="5" width="10.265625" style="1" bestFit="1" customWidth="1"/>
    <col min="6" max="6" width="13.53125" style="1" bestFit="1" customWidth="1"/>
  </cols>
  <sheetData>
    <row r="1" spans="1:6" x14ac:dyDescent="0.45">
      <c r="A1" s="4" t="s">
        <v>0</v>
      </c>
      <c r="B1" s="4" t="s">
        <v>1</v>
      </c>
      <c r="C1" s="4" t="s">
        <v>2</v>
      </c>
      <c r="D1" s="4" t="s">
        <v>3</v>
      </c>
      <c r="E1" s="4" t="s">
        <v>4</v>
      </c>
      <c r="F1" s="4" t="s">
        <v>5</v>
      </c>
    </row>
    <row r="2" spans="1:6" x14ac:dyDescent="0.45">
      <c r="A2" s="1" t="s">
        <v>6</v>
      </c>
      <c r="B2" s="1" t="s">
        <v>7</v>
      </c>
      <c r="C2" s="5">
        <v>120</v>
      </c>
      <c r="D2" s="19">
        <v>24000</v>
      </c>
      <c r="E2" s="19">
        <v>13800</v>
      </c>
      <c r="F2" s="19">
        <f>SalesTable[[#This Row],[Revenue]]-SalesTable[[#This Row],[Cost]]</f>
        <v>10200</v>
      </c>
    </row>
    <row r="3" spans="1:6" x14ac:dyDescent="0.45">
      <c r="A3" s="1" t="s">
        <v>8</v>
      </c>
      <c r="B3" s="1" t="s">
        <v>7</v>
      </c>
      <c r="C3" s="5">
        <v>135</v>
      </c>
      <c r="D3" s="19">
        <v>27000</v>
      </c>
      <c r="E3" s="19">
        <v>15100</v>
      </c>
      <c r="F3" s="19">
        <f>SalesTable[[#This Row],[Revenue]]-SalesTable[[#This Row],[Cost]]</f>
        <v>11900</v>
      </c>
    </row>
    <row r="4" spans="1:6" x14ac:dyDescent="0.45">
      <c r="A4" s="1" t="s">
        <v>9</v>
      </c>
      <c r="B4" s="1" t="s">
        <v>7</v>
      </c>
      <c r="C4" s="5">
        <v>150</v>
      </c>
      <c r="D4" s="19">
        <v>31500</v>
      </c>
      <c r="E4" s="19">
        <v>17400</v>
      </c>
      <c r="F4" s="19">
        <f>SalesTable[[#This Row],[Revenue]]-SalesTable[[#This Row],[Cost]]</f>
        <v>14100</v>
      </c>
    </row>
    <row r="5" spans="1:6" x14ac:dyDescent="0.45">
      <c r="A5" s="1" t="s">
        <v>10</v>
      </c>
      <c r="B5" s="1" t="s">
        <v>7</v>
      </c>
      <c r="C5" s="5">
        <v>160</v>
      </c>
      <c r="D5" s="19">
        <v>33600</v>
      </c>
      <c r="E5" s="19">
        <v>18500</v>
      </c>
      <c r="F5" s="19">
        <f>SalesTable[[#This Row],[Revenue]]-SalesTable[[#This Row],[Cost]]</f>
        <v>15100</v>
      </c>
    </row>
    <row r="6" spans="1:6" x14ac:dyDescent="0.45">
      <c r="A6" s="1" t="s">
        <v>11</v>
      </c>
      <c r="B6" s="1" t="s">
        <v>7</v>
      </c>
      <c r="C6" s="5">
        <v>175</v>
      </c>
      <c r="D6" s="19">
        <v>38500</v>
      </c>
      <c r="E6" s="19">
        <v>20700</v>
      </c>
      <c r="F6" s="19">
        <f>SalesTable[[#This Row],[Revenue]]-SalesTable[[#This Row],[Cost]]</f>
        <v>17800</v>
      </c>
    </row>
    <row r="7" spans="1:6" x14ac:dyDescent="0.45">
      <c r="A7" s="1" t="s">
        <v>12</v>
      </c>
      <c r="B7" s="1" t="s">
        <v>7</v>
      </c>
      <c r="C7" s="5">
        <v>190</v>
      </c>
      <c r="D7" s="19">
        <v>43700</v>
      </c>
      <c r="E7" s="19">
        <v>23100</v>
      </c>
      <c r="F7" s="19">
        <f>SalesTable[[#This Row],[Revenue]]-SalesTable[[#This Row],[Cost]]</f>
        <v>20600</v>
      </c>
    </row>
    <row r="8" spans="1:6" x14ac:dyDescent="0.45">
      <c r="A8" s="1" t="s">
        <v>6</v>
      </c>
      <c r="B8" s="1" t="s">
        <v>13</v>
      </c>
      <c r="C8" s="5">
        <v>45</v>
      </c>
      <c r="D8" s="19">
        <v>18000</v>
      </c>
      <c r="E8" s="19">
        <v>9900</v>
      </c>
      <c r="F8" s="19">
        <f>SalesTable[[#This Row],[Revenue]]-SalesTable[[#This Row],[Cost]]</f>
        <v>8100</v>
      </c>
    </row>
    <row r="9" spans="1:6" x14ac:dyDescent="0.45">
      <c r="A9" s="1" t="s">
        <v>8</v>
      </c>
      <c r="B9" s="1" t="s">
        <v>13</v>
      </c>
      <c r="C9" s="5">
        <v>50</v>
      </c>
      <c r="D9" s="19">
        <v>20500</v>
      </c>
      <c r="E9" s="19">
        <v>10800</v>
      </c>
      <c r="F9" s="19">
        <f>SalesTable[[#This Row],[Revenue]]-SalesTable[[#This Row],[Cost]]</f>
        <v>9700</v>
      </c>
    </row>
    <row r="10" spans="1:6" x14ac:dyDescent="0.45">
      <c r="A10" s="1" t="s">
        <v>9</v>
      </c>
      <c r="B10" s="1" t="s">
        <v>13</v>
      </c>
      <c r="C10" s="5">
        <v>55</v>
      </c>
      <c r="D10" s="19">
        <v>23100</v>
      </c>
      <c r="E10" s="19">
        <v>12100</v>
      </c>
      <c r="F10" s="19">
        <f>SalesTable[[#This Row],[Revenue]]-SalesTable[[#This Row],[Cost]]</f>
        <v>11000</v>
      </c>
    </row>
    <row r="11" spans="1:6" x14ac:dyDescent="0.45">
      <c r="A11" s="1" t="s">
        <v>10</v>
      </c>
      <c r="B11" s="1" t="s">
        <v>13</v>
      </c>
      <c r="C11" s="5">
        <v>62</v>
      </c>
      <c r="D11" s="19">
        <v>26900</v>
      </c>
      <c r="E11" s="19">
        <v>13900</v>
      </c>
      <c r="F11" s="19">
        <f>SalesTable[[#This Row],[Revenue]]-SalesTable[[#This Row],[Cost]]</f>
        <v>13000</v>
      </c>
    </row>
    <row r="12" spans="1:6" x14ac:dyDescent="0.45">
      <c r="A12" s="1" t="s">
        <v>11</v>
      </c>
      <c r="B12" s="1" t="s">
        <v>13</v>
      </c>
      <c r="C12" s="5">
        <v>70</v>
      </c>
      <c r="D12" s="19">
        <v>31500</v>
      </c>
      <c r="E12" s="19">
        <v>15800</v>
      </c>
      <c r="F12" s="19">
        <f>SalesTable[[#This Row],[Revenue]]-SalesTable[[#This Row],[Cost]]</f>
        <v>15700</v>
      </c>
    </row>
    <row r="13" spans="1:6" x14ac:dyDescent="0.45">
      <c r="A13" s="1" t="s">
        <v>12</v>
      </c>
      <c r="B13" s="1" t="s">
        <v>13</v>
      </c>
      <c r="C13" s="5">
        <v>78</v>
      </c>
      <c r="D13" s="19">
        <v>37400</v>
      </c>
      <c r="E13" s="19">
        <v>18200</v>
      </c>
      <c r="F13" s="19">
        <f>SalesTable[[#This Row],[Revenue]]-SalesTable[[#This Row],[Cost]]</f>
        <v>19200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Melka</dc:creator>
  <cp:lastModifiedBy>Jakub Melka</cp:lastModifiedBy>
  <dcterms:created xsi:type="dcterms:W3CDTF">2026-08-02T15:38:30Z</dcterms:created>
  <dcterms:modified xsi:type="dcterms:W3CDTF">2026-08-02T15:54:56Z</dcterms:modified>
</cp:coreProperties>
</file>